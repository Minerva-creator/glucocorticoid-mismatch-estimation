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alumnosviu-my.sharepoint.com/personal/mvillegasa_student_universidadviu_com/Documents/14MBID- TFM/Memoria/"/>
    </mc:Choice>
  </mc:AlternateContent>
  <xr:revisionPtr revIDLastSave="4" documentId="8_{C6C2F00E-66B9-470E-858E-48FBA8BCC3D7}" xr6:coauthVersionLast="47" xr6:coauthVersionMax="47" xr10:uidLastSave="{5CB76715-99A5-4B71-95DB-00D0EF49B9C9}"/>
  <bookViews>
    <workbookView xWindow="-28920" yWindow="-2790" windowWidth="29040" windowHeight="15840" tabRatio="496" activeTab="1" xr2:uid="{00000000-000D-0000-FFFF-FFFF00000000}"/>
  </bookViews>
  <sheets>
    <sheet name="Leyenda y Criterios" sheetId="1" r:id="rId1"/>
    <sheet name="Extraccion_Estudios" sheetId="2" r:id="rId2"/>
    <sheet name="Flujo_PRISMA" sheetId="3" r:id="rId3"/>
    <sheet name="Preguntas" sheetId="4" r:id="rId4"/>
    <sheet name="Referencias_Metodologicas" sheetId="5" r:id="rId5"/>
  </sheets>
  <definedNames>
    <definedName name="_xlnm._FilterDatabase" localSheetId="1" hidden="1">Extraccion_Estudios!$A$1:$AB$53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20" i="3" l="1"/>
  <c r="B20" i="3"/>
  <c r="C19" i="3"/>
  <c r="B19" i="3"/>
  <c r="C18" i="3"/>
  <c r="B18" i="3"/>
  <c r="C17" i="3"/>
  <c r="B17" i="3"/>
  <c r="C16" i="3"/>
  <c r="B16" i="3"/>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Z8" i="2"/>
  <c r="Z7" i="2"/>
  <c r="Z6" i="2"/>
  <c r="Z5" i="2"/>
  <c r="Z4" i="2"/>
  <c r="Z3" i="2"/>
  <c r="Z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8" authorId="0" shapeId="0" xr:uid="{00000000-0006-0000-0100-000010000000}">
      <text>
        <r>
          <rPr>
            <sz val="10"/>
            <rFont val="Arial"/>
            <family val="2"/>
          </rPr>
          <t>CONFIRMADO No disponible en su totalidad: verificacion cruzada en Springer (cita en referencias de Macheras &amp; Symillides, JPD 1993, y de Perrier/Mayersohn) y en el listado propio de publicaciones de P. Macheras confirman de forma consistente J. Pharm. Sci. 81:1231-1233 (1992), es decir, 3 paginas. El PDF aportado por la autora cubre solo la p.1231. Faltan pp.1232-1233. Vias legitimas para conseguirlas: prestamo interbibliotecario via biblioteca de la UVIU, contacto directo con los autores (Reppas sigue activo en Univ. of Athens), o version de autor en ResearchGate si existe.</t>
        </r>
      </text>
    </comment>
    <comment ref="T8" authorId="0" shapeId="0" xr:uid="{00000000-0006-0000-0100-000013000000}">
      <text>
        <r>
          <rPr>
            <sz val="10"/>
            <rFont val="Arial"/>
            <family val="2"/>
          </rPr>
          <t>Pendiente de pp.1232-1233 antes de puntuar C7 (los parametros/tabla vistos en p.1231 son solo el planteamiento del estudio de simulacion; los resultados completos y su discusion probablemente continuan en la p.1232).</t>
        </r>
      </text>
    </comment>
    <comment ref="W8" authorId="0" shapeId="0" xr:uid="{00000000-0006-0000-0100-000016000000}">
      <text>
        <r>
          <rPr>
            <sz val="10"/>
            <rFont val="Arial"/>
            <family val="2"/>
          </rPr>
          <t>Pendiente de pp.1232-1233: la seccion de limitaciones/discusion del articulo, si existe formalmente, esta casi con certeza en las paginas no disponibles.</t>
        </r>
      </text>
    </comment>
    <comment ref="Y8" authorId="0" shapeId="0" xr:uid="{00000000-0006-0000-0100-000018000000}">
      <text>
        <r>
          <rPr>
            <sz val="10"/>
            <rFont val="Arial"/>
            <family val="2"/>
          </rPr>
          <t>Pendiente de pp.1232-1233: no se puede evaluar el diseno de validacion completo sin ver si el articulo anade mas escenarios de simulacion o un analisis de sensibilidad adicional en el resto del texto.</t>
        </r>
      </text>
    </comment>
  </commentList>
</comments>
</file>

<file path=xl/sharedStrings.xml><?xml version="1.0" encoding="utf-8"?>
<sst xmlns="http://schemas.openxmlformats.org/spreadsheetml/2006/main" count="1065" uniqueCount="568">
  <si>
    <t>TFM 14MBID — Plantilla de Extraccion para Revision Bibliografica</t>
  </si>
  <si>
    <t>Fecha actualizacion</t>
  </si>
  <si>
    <t>Estimacion de Desalineacion Fisiologica en Insuficiencia Suprarrenal mediante Wearables</t>
  </si>
  <si>
    <t>COMO USAR ESTA PLANTILLA</t>
  </si>
  <si>
    <t>1. Registra cada estudio candidato en la pestana 'Extraccion_Estudios', una fila por estudio.</t>
  </si>
  <si>
    <t>2. Aplica primero los criterios de Inclusion/Exclusion (columnas H-K). Si el estudio se excluye, indica el motivo (E1-E6) y no completes las columnas de calidad.</t>
  </si>
  <si>
    <t>3. Si el estudio se incluye, puntua cada uno de los 12 criterios de calidad consolidados (columnas N-Y) con escala 0-2 (ver esta hoja, seccion CRITERIOS DE CALIDAD).</t>
  </si>
  <si>
    <t>4. La columna 'Puntuacion_Total' se calcula automaticamente (suma de los 12 criterios, maximo 24).</t>
  </si>
  <si>
    <t>5. Usa la pestana 'Flujo_PRISMA' para llevar el conteo de estudios identificados, cribados, excluidos e incluidos por base de datos.</t>
  </si>
  <si>
    <t>6. Un estudio con 1-2 criterios en 0 puede incluirse igualmente si es la unica fuente disponible para un constructo (especialmente en RQ4): documentalo en 'Notas_Limitaciones', no lo descartes automaticamente.</t>
  </si>
  <si>
    <t>7. Estos 12 criterios son la version consolidada tras fusionar 8 pares redundantes de una lista ampliada de 20 propuestas; no reintroducir los criterios eliminados (12,13,14,15,16,17,19,20 de esa lista) como columnas nuevas, ya que duplicarian constructos.</t>
  </si>
  <si>
    <t>ESCALA DE PUNTUACION (criterios de calidad, columnas N-Y)</t>
  </si>
  <si>
    <t>0</t>
  </si>
  <si>
    <t>No cumple / no reportado</t>
  </si>
  <si>
    <t>1</t>
  </si>
  <si>
    <t>Cumple parcialmente / reportado de forma incompleta</t>
  </si>
  <si>
    <t>2</t>
  </si>
  <si>
    <t>Cumple completamente / reportado con claridad y detalle</t>
  </si>
  <si>
    <t>LOS 12 CRITERIOS DE CALIDAD (version consolidada)</t>
  </si>
  <si>
    <t>Cod.</t>
  </si>
  <si>
    <t>Criterio</t>
  </si>
  <si>
    <t>Que evalua</t>
  </si>
  <si>
    <t>Por que es relevante</t>
  </si>
  <si>
    <t>C1</t>
  </si>
  <si>
    <t>Trazabilidad de la muestra/dataset y protocolo de induccion de estres</t>
  </si>
  <si>
    <t>Tamano muestral, criterios de seleccion, caracteristicas de poblacion y, en datasets (WESAD/SWELL), protocolo de captura, anotacion y metodo de induccion de estres (TSST, Stroop u otro validado).</t>
  </si>
  <si>
    <t>RQ3: sin trazabilidad completa del protocolo de induccion no puedes argumentar validez de dominio cruzado, solo asumirla.</t>
  </si>
  <si>
    <t>C2</t>
  </si>
  <si>
    <t>Validez de la medida de referencia (ground truth) endocrino</t>
  </si>
  <si>
    <t>Si el marcador endocrino de referencia (cortisol salival/serico, ACTH) esta bien medido, con timing correcto respecto al ritmo circadiano.</t>
  </si>
  <si>
    <t>RQ4: un ground truth debil contamina toda la cadena de inferencia StressLoad-Demand.</t>
  </si>
  <si>
    <t>C3</t>
  </si>
  <si>
    <t>Consistencia temporal y plausibilidad fisiologica SNA-HPA</t>
  </si>
  <si>
    <t>Si controla el desfase (lag) entre respuesta autonomica (segundos) y respuesta HPA (minutos-horas), apoyado en mecanismos fisiologicos documentados.</t>
  </si>
  <si>
    <t>Filtra estudios estadisticamente significativos pero fisiologicamente inconsistentes con la cinetica diferencial SNA/HPA.</t>
  </si>
  <si>
    <t>C4</t>
  </si>
  <si>
    <t>Distincion entre variable observada (proxy) y variable inferida (latente)</t>
  </si>
  <si>
    <t>Si diferencia explicitamente senales medibles (HR, HRV, EDA, temperatura) del estado fisiologico latente subyacente (activacion simpatica, carga alostatica).</t>
  </si>
  <si>
    <t>Protege el principio de que Demand(t) es una variable latente no observable; excluye estudios que afirman medir estres directamente con un wearable.</t>
  </si>
  <si>
    <t>C5</t>
  </si>
  <si>
    <t>Transparencia e interpretabilidad del modelo de ML</t>
  </si>
  <si>
    <t>Si reporta no solo metricas de rendimiento (accuracy, F1, AUC) sino mecanismos de explicabilidad (SHAP, LIME, feature importance, reglas de decision).</t>
  </si>
  <si>
    <t>El proyecto prioriza interpretabilidad sobre precision maxima; sin explicabilidad el modelo no es defendible clinicamente.</t>
  </si>
  <si>
    <t>C6</t>
  </si>
  <si>
    <t>Validacion externa/cruzada robusta frente a fuga de datos</t>
  </si>
  <si>
    <t>Si el modelo se valida en muestra distinta al entrenamiento, con estrategias que evitan data leakage entre sujetos (GroupKFold, Leave-One-Subject-Out).</t>
  </si>
  <si>
    <t>RQ3: un split aleatorio intra-sujeto infla artificialmente el rendimiento y oculta el riesgo real de generalizacion.</t>
  </si>
  <si>
    <t>C7</t>
  </si>
  <si>
    <t>Especificacion cuantitativa y rigor de parametros farmacocineticos</t>
  </si>
  <si>
    <t>Si reporta valores numericos concretos (ka, ke, Tmax, Cmax, biodisponibilidad, vida media) para hidrocortisona oral, no solo descripcion cualitativa.</t>
  </si>
  <si>
    <t>RQ10: necesitas parametros reales y rangos fisiologicamente realistas para calibrar el modelo monocompartimental.</t>
  </si>
  <si>
    <t>C8</t>
  </si>
  <si>
    <t>Variabilidad inter/intraindividual y manejo de baselines individualizados</t>
  </si>
  <si>
    <t>Si reporta rangos de variacion entre sujetos y dentro del mismo sujeto; si emplea normalizacion o baseline individualizado (z-score intra-sujeto).</t>
  </si>
  <si>
    <t>El sistema opera sobre baselines personalizados; sin esto no se puede justificar la personalizacion ni calibrar la incertidumbre en Coverage(t)/Demand(t).</t>
  </si>
  <si>
    <t>C9</t>
  </si>
  <si>
    <t>Alineacion con soporte a la decision, no diagnostico autonomo</t>
  </si>
  <si>
    <t>Si se encuadra explicitamente como CDSS / contextual risk estimation, con limites claros de responsabilidad, o como herramienta diagnostica/predictiva autonoma.</t>
  </si>
  <si>
    <t>Protege el framing obligatorio del TFM; evita contaminacion conceptual por asociacion con literatura de diagnostico o dosificacion automatica.</t>
  </si>
  <si>
    <t>C10</t>
  </si>
  <si>
    <t>Transparencia en las limitaciones declaradas por los autores</t>
  </si>
  <si>
    <t>Si incluye una seccion de limitaciones sustantiva (sesgos de muestra, generalizacion, validez ecologica) o las omite/minimiza.</t>
  </si>
  <si>
    <t>Senal indirecta de rigor; filtro de sesgo comercial, especialmente relevante en el dominio wearable-consumer.</t>
  </si>
  <si>
    <t>C11</t>
  </si>
  <si>
    <t>Trazabilidad del algoritmo de fusion y calculo del mismatch</t>
  </si>
  <si>
    <t>Si define formalmente las funciones o reglas logicas para calcular el desacople entre dos series temporales heterogeneas (una inferida, una calculada).</t>
  </si>
  <si>
    <t>Sostiene Risk(t) = Demand(t) - Coverage(t); aporta precedentes sobre alineacion temporal de variables latentes sin falsas alarmas por ruido.</t>
  </si>
  <si>
    <t>C12</t>
  </si>
  <si>
    <t>Adecuacion del diseno de validacion y analisis de sensibilidad</t>
  </si>
  <si>
    <t>Si distingue validacion funcional/robustez (escenarios sinteticos) de validacion de eficacia clinica real, e incluye analisis de sensibilidad frente a ruido y variacion de parametros.</t>
  </si>
  <si>
    <t>Espejo de la estrategia de validacion del TFM (RQ7); sostiene que la validacion sintetica prueba robustez algoritmica, no eficacia clinica.</t>
  </si>
  <si>
    <t>MOTIVOS DE EXCLUSION (usar codigo en columna 'Motivo_Exclusion')</t>
  </si>
  <si>
    <t>Motivo</t>
  </si>
  <si>
    <t>E1</t>
  </si>
  <si>
    <t>Duplicado de estudio ya considerado</t>
  </si>
  <si>
    <t>E2</t>
  </si>
  <si>
    <t>Formato no academico / sin revision por pares (editorial, web, resumen sin articulo completo)</t>
  </si>
  <si>
    <t>E3</t>
  </si>
  <si>
    <t>Centrado exclusivamente en diagnostico clinico de insuficiencia suprarrenal, sin relacion con wearables/monitorizacion</t>
  </si>
  <si>
    <t>E4</t>
  </si>
  <si>
    <t>Cortisol/ACTH como unico outcome, sin variable autonomica periferica asociada</t>
  </si>
  <si>
    <t>E5</t>
  </si>
  <si>
    <t>Financiacion no declarada del fabricante del dispositivo evaluado, sin validacion independiente</t>
  </si>
  <si>
    <t>E6</t>
  </si>
  <si>
    <t>Literatura de marketing / whitepaper de producto sin metodologia cientifica trazable</t>
  </si>
  <si>
    <t>OTRO</t>
  </si>
  <si>
    <t>Otro motivo (especificar en Notas_Limitaciones)</t>
  </si>
  <si>
    <t>NOTA DE CONSOLIDACION</t>
  </si>
  <si>
    <t>Esta lista de 12 criterios resulta de fusionar una lista ampliada de 20 propuestas, de las cuales 8 duplicaban constructos ya cubiertos (fusionadas en C1, C3, C5, C6, C7, C8, C9, C12) y 2 aportaban ejes nuevos genuinos (C4: distincion proxy/variable latente; C11: trazabilidad del algoritmo de fusion del mismatch). No usar ambas listas simultaneamente en la extraccion: puntuar el mismo constructo dos veces infla artificialmente su peso relativo en la puntuacion total de calidad.</t>
  </si>
  <si>
    <t>ID</t>
  </si>
  <si>
    <t>RQ Asociada</t>
  </si>
  <si>
    <t>Autor(es) y Anio</t>
  </si>
  <si>
    <t>Titulo</t>
  </si>
  <si>
    <t>Revista/Conferencia</t>
  </si>
  <si>
    <t>Base de Datos</t>
  </si>
  <si>
    <t>DOI/URL</t>
  </si>
  <si>
    <t>Tipo Estudio</t>
  </si>
  <si>
    <t>Cumple Inclusion</t>
  </si>
  <si>
    <t>Incluido Excluido</t>
  </si>
  <si>
    <t>Motivo Exclusion</t>
  </si>
  <si>
    <t>Eje</t>
  </si>
  <si>
    <t>Texto Completo Disponible</t>
  </si>
  <si>
    <t>C1 Trazabilidad de la mue</t>
  </si>
  <si>
    <t>C2 Validez de la medida d</t>
  </si>
  <si>
    <t xml:space="preserve">C3 Consistencia temporal </t>
  </si>
  <si>
    <t>C4 Distincion entre varia</t>
  </si>
  <si>
    <t>C5 Transparencia e interp</t>
  </si>
  <si>
    <t>C6 Validacion externa/cru</t>
  </si>
  <si>
    <t>C7 Especificacion cuantit</t>
  </si>
  <si>
    <t>C8 Variabilidad inter/int</t>
  </si>
  <si>
    <t>C9 Alineacion con soporte</t>
  </si>
  <si>
    <t>C10 Transparencia en las l</t>
  </si>
  <si>
    <t>C11 Trazabilidad del algor</t>
  </si>
  <si>
    <t xml:space="preserve">C12 Adecuacion del diseno </t>
  </si>
  <si>
    <t>Puntuacion Total</t>
  </si>
  <si>
    <t>Hallazgo Clave</t>
  </si>
  <si>
    <t>Notas Limitaciones</t>
  </si>
  <si>
    <t>RQ10</t>
  </si>
  <si>
    <t>Simon et al. (2010)</t>
  </si>
  <si>
    <t>Pharmacokinetic Evidence for Suboptimal Treatment of Adrenal Insufficiency with Currently Available Hydrocortisone Tablets</t>
  </si>
  <si>
    <t>Clinical Pharmacokinetics, 49(7), 455-463</t>
  </si>
  <si>
    <t>PubMed</t>
  </si>
  <si>
    <t>10.2165/11531290-000000000-00000</t>
  </si>
  <si>
    <t>Observacional prospectivo, modelo poblacional 1-compartimental (entrada de orden cero, eliminacion de primer orden), N=20 pacientes con insuficiencia suprarrenal</t>
  </si>
  <si>
    <t>Si</t>
  </si>
  <si>
    <t>Incluido</t>
  </si>
  <si>
    <t>Fisiologico/PK</t>
  </si>
  <si>
    <t>N/A</t>
  </si>
  <si>
    <t>[Pertenencia: Directa - mejor ajuste del set a RQ10] Modelo 1-compartimental con entrada de orden cero y eliminacion de primer orden en 20 pacientes con insuficiencia suprarrenal (8H/12M, edad media 53.1 anos). Parametros con variabilidad intersujeto explicita: duracion de absorcion 0.54h, volumen de distribucion 38.7L (CV 39.7%), aclaramiento 12.1L/h (CV 23.2%), error residual proporcional 32.3%. Los autores usan el modelo para simular 18 regimenes de dosificacion distintos; incluso el mejor regimen (10+5+5mg a las 07:30/12:00/16:30h) deja entre un 32% y 54% de pacientes simulados fuera del rango fisiologico objetivo segun la hora del dia. Es la cuantificacion mas directa y honesta del margen de error teorico de un modelo monocompartimental simplificado que existe en el set.</t>
  </si>
  <si>
    <t>N pequeno (20) y poblacion heterogenea en etiologia (Addison, adrenalectomia bilateral) - la variabilidad reportada puede no ser generalizable a insuficiencia suprarrenal primaria pura. Texto completo no confirmado en los fragmentos disponibles (Springer, posible paywall) - verificar via acceso institucional.</t>
  </si>
  <si>
    <t>Melin et al. (2020)</t>
  </si>
  <si>
    <t>Pharmacokinetic/Pharmacodynamic Evaluation of Hydrocortisone Therapy in Pediatric Patients with Congenital Adrenal Hyperplasia</t>
  </si>
  <si>
    <t>The Journal of Clinical Endocrinology &amp; Metabolism, 105(4), e1729-e1740</t>
  </si>
  <si>
    <t>10.1210/clinem/dgaa071</t>
  </si>
  <si>
    <t>Observacional, modelo PK/PD poblacional 1-compartimental (NONMEM) con 17-OHP como biomarcador, N=30 pacientes pediatricos con hiperplasia suprarrenal congenita (7-17 anos)</t>
  </si>
  <si>
    <t>[Pertenencia: Directa] Modelo 1-compartimental con absorcion de primer orden (ka) y eliminacion lineal (CL/Vc) suficiente para describir los perfiles de cortisol plasmatico tras administracion oral e IV en 30 pacientes pediatricos con HSC. Reporta variabilidad interindividual explicita via coeficientes de variacion (CV%): 58.1% para el baseline de cortisol endogeno, con variabilidad residual mas alta tras administracion oral que IV (RUV oral notablemente mayor que RUV IV), evidencia directa de que la variabilidad en absorcion es mayor que la de eliminacion. Simula regimenes de 3 y 4 tomas diarias frente a rangos objetivo de cortisol y 17-OHP.</t>
  </si>
  <si>
    <t>Poblacion pediatrica (7-17 anos) con HSC, no adultos con insuficiencia suprarrenal primaria - transferencia de dominio a justificar explicitamente por la autora, no abordada por los propios autores (17-OHP como biomarcador PD es especifico de HSC/deficit de 21-hidroxilasa, sin equivalente directo en insuficiencia suprarrenal primaria de otro origen). C10=2 (confirmado con texto completo, 26/08/2026): los autores declaran limitaciones sustantivas repartidas en la Discusion, no en seccion dedicada pero si explicitas y en varios puntos: (i) diferencias de PK por estatus puberal no se pudieron estimar por N insuficiente en cada subgrupo; (ii) 7/30 pacientes (23.3%) descartados del analisis PK/PD por concentraciones de 17-OHP bajo el limite de cuantificacion, con nota explicita de que un inmunoensayo mas sensible (LC-MS/MS) podria haber recuperado esos datos; (iii) reconocen que su diseno de simulacion no permite discriminar si dosis iguales o desiguales a lo largo del dia son preferibles; (iv) concluyen que se requiere un ensayo clinico prospectivo antes de confirmar beneficio clinico, es decir encuadran sus propios resultados como validacion funcional/simulacion y no como evidencia de eficacia clinica - coherente con el C12=2 ya asignado a esta fila.</t>
  </si>
  <si>
    <t>Werumeus Buning et al. (2017)</t>
  </si>
  <si>
    <t>Pharmacokinetics of oral hydrocortisone - Results and implications from a randomized controlled trial</t>
  </si>
  <si>
    <t>Metabolism, 71, 7-16</t>
  </si>
  <si>
    <t>10.1016/j.metabol.2017.02.005</t>
  </si>
  <si>
    <t>Ensayo aleatorizado doble ciego cruzado, modelos poblacionales 1- y 2-compartimentales comparados, N=46 pacientes con insuficiencia suprarrenal secundaria</t>
  </si>
  <si>
    <t>[Pertenencia: Directa] Compara explicitamente modelos 1- y 2-compartimentales para cortisol libre plasmatico, cortisol total plasmatico y cortisol salival en 46 pacientes con dos dosis distintas de hidrocortisona oral. El modelo 1-compartimental describe mejor los datos que el 2-compartimental (relevante para justificar la simplificacion del TFM). Hallazgo central: la farmacocinetica de hidrocortisona puede diferir hasta 10 veces entre individuos (AUC24h), y doblar la dosis en metabolizadores rapidos no aumenta significativamente la exposicion durante gran parte del dia - evidencia directa de que el margen de error de un modelo poblacional simplificado sin ajuste individual puede ser sustancial.</t>
  </si>
  <si>
    <t>Poblacion de insuficiencia suprarrenal SECUNDARIA (no primaria) - matiz relevante dado que el TFM no distingue explicitamente el subtipo. Texto completo no confirmado en los fragmentos disponibles (Elsevier/ScienceDirect, posible paywall) - C10 y C12 tentativos.</t>
  </si>
  <si>
    <t>Derendorf et al. (1991)</t>
  </si>
  <si>
    <t>Pharmacokinetics and Oral Bioavailability of Hydrocortisone</t>
  </si>
  <si>
    <t>The Journal of Clinical Pharmacology, 31(5), 473-476</t>
  </si>
  <si>
    <t>10.1002/j.1552-4604.1991.tb01906.x</t>
  </si>
  <si>
    <t>Estudio farmacocinetico clasico IV vs. oral, supresion endogena con dexametasona (tamano muestral no confirmado en fragmento disponible)</t>
  </si>
  <si>
    <t>[Pertenencia: Directa como fuente de parametros puntuales, no de variabilidad] Referencia clasica y ampliamente citada (aparece como cita bibliografica en practicamente todos los demas estudios PK de este set) que establece los parametros farmacocineticos canonicos de hidrocortisona oral tras supresion de cortisol endogeno con dexametasona: aclaramiento total 18 L/h, semivida de eliminacion 1.7h, volumen de distribucion 34L, biodisponibilidad oral media 96%, absorcion rapida con Cmax de ~300 ng/mL a la hora de la toma. Es la fuente mas citada del set para calibrar los valores puntuales (ka, ke, Tmax, Cmax, F) del modelo monocompartimental del TFM.</t>
  </si>
  <si>
    <t>CRITICO: a diferencia de los otros 4 estudios, este NO reporta variabilidad inter/intraindividual (solo estima puntuales/medias) ni realiza analisis de sensibilidad - por eso puntua bajo en C8, C10 y C12 pese a ser la referencia canonica de parametros PK (C7=2). No usar como evidencia sobre el margen de error del modelo; usar solo para fijar los valores centrales de ka/ke/Tmax/Cmax/F. Tamano muestral no confirmado en el fragmento disponible (articulo de 1991, posible acceso solo por abstract/tabla - aplica la excepcion G4 de la RSL para parametros PK puntuales).</t>
  </si>
  <si>
    <t>Bornstein et al. (2016)</t>
  </si>
  <si>
    <t>Diagnosis and Treatment of Primary Adrenal Insufficiency: An Endocrine Society Clinical Practice Guideline</t>
  </si>
  <si>
    <t>The Journal of Clinical Endocrinology &amp; Metabolism, 101(2), 364-389</t>
  </si>
  <si>
    <t>10.1210/jc.2015-1710</t>
  </si>
  <si>
    <t>Guia de practica clinica basada en revision sistematica de evidencia con metodologia GRADE (excepcion G1-exc)</t>
  </si>
  <si>
    <t>Excluido</t>
  </si>
  <si>
    <t>[Pertenencia: CONTEXTUAL, no Directa] Guia de la Endocrine Society que recomienda hidrocortisona 15-25 mg/dia (o cortisona acetato 20-35 mg/dia) en 2-3 tomas diarias para adultos, y ~8 mg/m2/dia en ninos, mas fludrocortisona una vez al dia (mediana 0.1 mg). No reporta parametros farmacocineticos cuantitativos (ka, ke, Tmax, Cmax, F) ni variabilidad inter/intraindividual - es una sintesis de recomendaciones clinicas de consenso, no un estudio de modelado PK. Su valor para RQ10 es normativo: ancla el rango de dosis fisiologicamente aceptado frente al cual contrastar la plausibilidad de las simulaciones del modelo monocompartimental del TFM.</t>
  </si>
  <si>
    <t>Incluido via excepcion G1-exc (guia clinica de sociedad reconocida). Metodologia GRADE explicita con declaracion de ausencia de financiacion corporativa (transparencia alta, C10=2), pero no aporta evidencia cuantitativa de margen de error/sensibilidad (C7=0, C8=0) - no citar como fuente de parametros PK, solo como marco de dosificacion clinica de referencia. C1, C2 y C12 marcados N/A: no aplican a un documento de sintesis normativa sin muestra ni medida primaria propia.</t>
  </si>
  <si>
    <t>Allolio, B. (2015)</t>
  </si>
  <si>
    <t>Adrenal crisis</t>
  </si>
  <si>
    <t>European Journal of Endocrinology, 172(3), R115-R124</t>
  </si>
  <si>
    <t>10.1530/EJE-14-0824</t>
  </si>
  <si>
    <t>Revision clinica</t>
  </si>
  <si>
    <t>Fue el ancla original de D_ref hasta la Seccion 6.1 (reanclaje a Kirschbaum et al. 1993); se mantiene registrada por trazabilidad historica de la decision, no como referencia vigente para ningun calculo actual del sistema.</t>
  </si>
  <si>
    <t>ALERTA DE FRAMING: describe estres 'mayor' y recomendaciones de dosis clinica - el tipo de literatura que el framing obligatorio del proyecto pide evitar citar como si validara el sistema. Mantener solo como referencia de contraste/trazabilidad (asi lo declara ya Evolucion v11, Seccion 6.1), nunca como apoyo de un calculo vigente. Anadida en v4.</t>
  </si>
  <si>
    <t>Macheras, P., Symillides, M., &amp; Reppas, C. (1992)</t>
  </si>
  <si>
    <t>On the Assessment of the Relative Magnitude of Rate Constants in the Linear Open One-Compartment Model</t>
  </si>
  <si>
    <t>Journal of Pharmaceutical Sciences, 81(12), 1231-1233</t>
  </si>
  <si>
    <t>10.1002/JPS.2600811223</t>
  </si>
  <si>
    <t>Metodologico/farmacocinetico</t>
  </si>
  <si>
    <t>No</t>
  </si>
  <si>
    <t>RQ11</t>
  </si>
  <si>
    <t>Yavuz, Claassen &amp; Kleinberg (2020)</t>
  </si>
  <si>
    <t>Lagged Correlations among Physiological Variables as Indicators of Consciousness in Stroke Patients</t>
  </si>
  <si>
    <t>AMIA Annual Symposium Proceedings, 2019:942-951</t>
  </si>
  <si>
    <t>PubMed/PMC (PMC7153151)</t>
  </si>
  <si>
    <t>PMID: 32308891</t>
  </si>
  <si>
    <t>Metodologico + validacion empirica en datos clinicos reales (UCI neurologica)</t>
  </si>
  <si>
    <t>Tecnico (Wearables/ML)</t>
  </si>
  <si>
    <t>[Pertenencia: Directa] Introduce N2C2 (nonstationary normalized cross-correlation), metodo para detectar cambios en el lag entre variables fisiologicas correlacionadas en datos multimodales de UCI, disenado explicitamente para ser robusto al ruido. Validado en pacientes reales con hemorragia subaracnoidea: lags mas largos se asocian a menor nivel de consciencia. Es el precedente mas directo del set para el algoritmo de fusion/mismatch (C11).</t>
  </si>
  <si>
    <t>No usa wearables de consumo ni datasets WESAD/SWELL; el ruido es de instrumentacion hospitalaria (monitorizacion continua en UCI neurologica), no de sensores ambulatorios. [Verificado con texto completo, 26/08/2026] C5=2 (revisado al alza desde 1): el algoritmo N2C2 es interpretable por diseno -- pipeline formalizado con ecuaciones explicitas (NCC, kernel tricube estirado, votacion de Borda con ventana deslizante), sin componente de caja negra, y codigo publicado en GitHub. Matiz metodologico: el criterio C5 esta formulado pensando en clasificadores ML supervisados con explicabilidad post-hoc (SHAP/LIME); aqui no aplica en sentido estricto porque no hay un modelo entrenado que opacar, sino un metodo estadistico basado en reglas explicitas -- la transparencia es estructural, no anadida a posteriori. No usar este caso como precedente de 'aplicabilidad general' de C5 a metodos no supervisados sin discutir esta distincion en el capitulo. C10=1 (confirmado, no revisado al alza): los autores reconocen puntualmente el tamano muestral reducido y la alta variabilidad individual ('Despite the small sample size and high individual variation...') y anotan trabajo futuro para clarificar el mecanismo causal de los lags, pero no incluyen una seccion de limitaciones dedicada ni discuten explicitamente: (a) generalizacion mas alla de pacientes SAH de un unico centro (Columbia University Medical Center, N=61), (b) validez ecologica de la Glasgow Coma Scale como medida de referencia de consciencia, ni (c) el umbral de significancia laxo (p&lt;0.1, justificado por tamano muestral) como fuente potencial de falsos positivos en los pares de variables reportados.</t>
  </si>
  <si>
    <t>Meszlenyi, Hermann, Buza, Gal &amp; Vidnyanszky (2017)</t>
  </si>
  <si>
    <t>Resting State fMRI Functional Connectivity Analysis Using Dynamic Time Warping</t>
  </si>
  <si>
    <t>Frontiers in Neuroscience, 11:75</t>
  </si>
  <si>
    <t>PubMed/PMC (PMC5313507)</t>
  </si>
  <si>
    <t>10.3389/fnins.2017.00075</t>
  </si>
  <si>
    <t>Metodologico, validacion en datos simulados y datos reales de fMRI</t>
  </si>
  <si>
    <t>[Pertenencia: Tangencial] Propone DTW en vez de correlacion de lag fijo para medir conectividad funcional en fMRI en reposo. Con datos simulados (SNR controlado) demuestran que DTW es menos sensible a ruido global superpuesto y detecta mejor desfases no estacionarios que la correlacion cruzada tradicional.</t>
  </si>
  <si>
    <t>Dominio de aplicacion distinto (neuroimagen, no wearables); el tipo de ruido (artefactos de movimiento/hemodinamica) no es comparable al de sensores portatiles. No aborda CDSS (C9 N/A).</t>
  </si>
  <si>
    <t>Song, Wen, Li &amp; Sun (2022)</t>
  </si>
  <si>
    <t>Robust Time Series Dissimilarity Measure for Outlier Detection and Periodicity Detection</t>
  </si>
  <si>
    <t>Proceedings of the 31st ACM CIKM (CIKM 22)</t>
  </si>
  <si>
    <t>ACM Digital Library</t>
  </si>
  <si>
    <t>10.1145/3511808.3557686</t>
  </si>
  <si>
    <t>Metodologico, propuesta algoritmica (RobustDTW) con validacion experimental</t>
  </si>
  <si>
    <t>[Pertenencia: Contextual] Propone RobustDTW: estima tendencia y funcion de warping de forma alternante (temporal graph trend filtering) para reducir el efecto de ruido y outliers en el calculo de desfase entre series. Supera a variantes estandar de DTW en deteccion de outliers y periodicidad.</t>
  </si>
  <si>
    <t>Dominio ajeno a biomedicina/fisiologia; sin discusion de interpretabilidad clinica ni de soporte a la decision. Aporta precedente tecnico de robustecimiento algoritmico, no evidencia de dominio.</t>
  </si>
  <si>
    <t>Boniol, Krishna, Bruel, Liu, Huang, Palpanas, Tsay, Elmore, Franklin &amp; Paparrizos (2025)</t>
  </si>
  <si>
    <t>VUS: Effective and Efficient Accuracy Measures for Time-Series Anomaly Detection</t>
  </si>
  <si>
    <t>The VLDB Journal, 34(3), Art. 32</t>
  </si>
  <si>
    <t>Springer Link / VLDB</t>
  </si>
  <si>
    <t>10.1007/s00778-025-00907-x</t>
  </si>
  <si>
    <t>Metodologico - evaluacion sistematica de metricas de evaluacion</t>
  </si>
  <si>
    <t>[Pertenencia: Tangencial - directa a la pregunta metodologica] Evalua sistematicamente la robustez de metricas de evaluacion (Precision, Recall, F1, AUC-ROC/PR y sus propias medidas VUS-ROC/VUS-PR) inyectando de forma controlada lag y ruido en series temporales. Demuestra que las metricas tradicionales varian mucho mas bajo estas perturbaciones que VUS. Responde de forma mas literal a RQ11 que ningun otro estudio del set.</t>
  </si>
  <si>
    <t>No es biomedico ni aborda variables latentes fisiologicas ni framing de soporte a la decision clinica. Aporta el protocolo experimental (inyeccion controlada de ruido/lag + medicion de varianza) mas replicable para validar Risk(t).</t>
  </si>
  <si>
    <t>Ghorbani, Reinders &amp; Tax (2024)</t>
  </si>
  <si>
    <t>PATE: Proximity-Aware Time Series Anomaly Evaluation</t>
  </si>
  <si>
    <t>Proceedings of the 30th ACM SIGKDD Conference (KDD 24)</t>
  </si>
  <si>
    <t>10.1145/3637528.3671971</t>
  </si>
  <si>
    <t>Metodologico - propuesta de metrica de evaluacion sensible a proximidad temporal</t>
  </si>
  <si>
    <t>[Pertenencia: Contextual] Propone PATE: pondera la evaluacion de detecciones segun su proximidad temporal al evento real (deteccion temprana/tardia, tiempo de respuesta de inicio) en vez de exigir coincidencia exacta punto a punto. Argumenta que metricas tradicionales (F1 ajustado por punto) sobre/subestiman el desempeno cuando hay desfases de deteccion.</t>
  </si>
  <si>
    <t>Centrado en deteccion de anomalias puntuales/rangos, no en el calculo continuo de un desfase entre dos curvas de demanda/cobertura. Complementa a VUS con un principio de penalizacion gradual (no binaria) de desfases.</t>
  </si>
  <si>
    <t>Debono, M., Ghobadi, C., Rostami-Hodjegan, A., Huatan, H., Campbell, M. J., Newell-Price, J., Darzy, B., Merke, D. P., Arlt, W., &amp; Ross, R. J. (2009)</t>
  </si>
  <si>
    <t>Modified-release hydrocortisone to provide circadian cortisol profiles</t>
  </si>
  <si>
    <t>The Journal of Clinical Endocrinology &amp; Metabolism, 94(5), 1548-1554</t>
  </si>
  <si>
    <t>10.1210/jc.2008-2380</t>
  </si>
  <si>
    <t>Estudio clinico farmacocinetico cruzado y modelado de simulacion PK (in vivo / in silico)</t>
  </si>
  <si>
    <t>Fuente de los parametros de forma (Rm, Ramp, Tmin=00:18h, Tmax=08:32h) usados en Demand_circadian(t), Seccion 6.0. Reporta variabilidad interindividual en Cmax/Tmax superior al 35-40%, relevante para la limitacion de 'cinetica poblacional media, no individualizada' ya declarada en Coverage(t).</t>
  </si>
  <si>
    <t>Ya extraida con puntuacion completa en la hoja 'Extraccion_Estudios Gemini y yo' (fila ID 12) pero ausente de la hoja canonica pese a sostener una decision cerrada central (6.0). Trasladada aqui en v4 conservando su puntuacion original de esa hoja.</t>
  </si>
  <si>
    <t>RQ4</t>
  </si>
  <si>
    <t>Gunnar, M., &amp; Quevedo, K. (2007)</t>
  </si>
  <si>
    <t>The Neurobiology of Stress and Development</t>
  </si>
  <si>
    <t>Annual Review of Psychology, 58, 145-173</t>
  </si>
  <si>
    <t>10.1146/annurev.psych.58.110405.085605</t>
  </si>
  <si>
    <t>Revision narrativa (neurobiologia del desarrollo)</t>
  </si>
  <si>
    <t>Fuente bibliografica de la ventana de 25 minutos de f(StressLoad(t)) (Seccion 6.0): documenta el tiempo hasta el pico de cortisol tras un estresor agudo (~25 min). Verificado con texto completo que el dato de semivida de recuperacion (60-70 min) citado por una fuente secundaria (PMC8139339) NO aparece en este articulo original.</t>
  </si>
  <si>
    <t>Ejemplo explicito, dentro del propio proyecto, de deteccion de una cita secundaria mal atribuida - vale la pena mencionarlo en la memoria como evidencia de rigor en la revision bibliografica. Anadida en v4.</t>
  </si>
  <si>
    <t>Agorastos et al. (2019)</t>
  </si>
  <si>
    <t>Vagal effects of endocrine HPA axis challenges on resting autonomic activity assessed by heart rate variability measures in healthy humans</t>
  </si>
  <si>
    <t>Psychoneuroendocrinology, 102, 196-203</t>
  </si>
  <si>
    <t>PubMed / ScienceDirect</t>
  </si>
  <si>
    <t>10.1016/j.psyneuen.2018.12.017</t>
  </si>
  <si>
    <t>Experimental - challenge farmacoendocrino intra-sujeto (metirapona/dexametasona), N=39</t>
  </si>
  <si>
    <t>[Pertenencia: Directa] Unico estudio del set con manipulacion causal directa del eje HPA (supresion via dexametasona, estimulacion via metirapona) midiendo el efecto resultante sobre HRV vagal en 39 sujetos sanos. Invierte la direccion causal habitual de la literatura correlacional (HRV-&gt;cortisol) y demuestra HPA-&gt;vagal: metirapona redujo RMSSD, NN50%, HF% y aumento el coeficiente de escalado no lineal alpha_fast (indicando retirada vagal), mientras que dexametasona no tuvo efecto autonomico detectable. Evidencia mecanistica clave para justificar por que Demand(t) no puede leerse como funcion simple/directa de HRV: aqui es la perturbacion del eje HPA la que desplaza el tono vagal, no al reves.</t>
  </si>
  <si>
    <t>CONFIRMADO CON TEXTO COMPLETO. N pequeno (39, tras cribado de 72 candidatos con criterios de exclusion muy estrictos) limita generalizacion de heterogeneidad interindividual (C8=1: diseno de medidas repetidas intra-sujeto con baseline Dia 1, pero sin cuantificar magnitud de variabilidad inter-individual mas alla de ajustar por edad/sexo/WHR/tabaquismo). C10 actualizado de 1 (tentativo) a 2: los autores declaran de forma explicita y extensa multiples limitaciones (medicion en un unico punto temporal 9h post-desafio que solo permite inferir efectos indirectos dada la vida media corta de metirapona ~2h; calidad de sueno no medida objetivamente; fase menstrual no controlada aunque si analizada post-hoc; ausencia de medida de respiracion pese a su efecto conocido sobre HRV). Direccionalidad a matizar en la RSL: este es un estudio de causalidad HPA-&gt;autonomico (perturbacion farmacologica del eje seguida de medicion de HRV en reposo), no de inferencia autonomico-&gt;HPA como requiere StressLoad(t) del TFM; citar con precision esa inversion para no sugerir que valida directamente el sentido de inferencia del proyecto. No usa wearables de consumo (ECG holter, protocolo de laboratorio con analisis manual en Kubios/MATLAB). No hay riesgo de fuga de datos (no hay ML ni particion de muestra).</t>
  </si>
  <si>
    <t>Mazgelyte et al. (2021)</t>
  </si>
  <si>
    <t>Association of Salivary Steroid Hormones and Their Ratios With Time-Domain Heart Rate Variability Indices in Healthy Individuals</t>
  </si>
  <si>
    <t>Journal of Medical Biochemistry, 40(2), 173-180</t>
  </si>
  <si>
    <t>PubMed / PMC (PMC7982294)</t>
  </si>
  <si>
    <t>10.5937/jomb0-26045</t>
  </si>
  <si>
    <t>Observacional, repeated-measures (3 sesiones / 5 dias), N=40</t>
  </si>
  <si>
    <t>[Pertenencia: Directa] Mide cortisol/cortisona/DHEA salivales (UHPLC-MS/MS) junto con RMSSD y pNN50 en 3 sesiones sobre 5 dias en 40 adultos sanos. Halla asociacion inversa entre tono vagal y cortisol/DHEA, pero el hallazgo central es de fiabilidad: la consistencia intraindividual (ICC) de los biomarcadores salivales puntuales es pobre-moderada (0.00-0.48), mientras que las metricas HRV son mas estables (0.52-0.65). El "ground truth" endocrino es, el mismo, menos fiable que el proxy autonomico.</t>
  </si>
  <si>
    <t>Autores declaran de forma explicita: uso exclusivo de HRV en dominio temporal (sin componente de dominio frecuencial), medida indirecta de actividad 11b-HSD2, diseno observacional que impide causalidad. Maxima transparencia en limitaciones - citable con confianza. No usa wearables de consumo.</t>
  </si>
  <si>
    <t>Rotenberg &amp; McGrath (2016)</t>
  </si>
  <si>
    <t>Inter-relation between autonomic and HPA axis activity in children and adolescents</t>
  </si>
  <si>
    <t>Biological Psychology, 117, 16-25</t>
  </si>
  <si>
    <t>PubMed / PMC (PMC5731846)</t>
  </si>
  <si>
    <t>10.1016/j.biopsycho.2016.01.015</t>
  </si>
  <si>
    <t>Observacional transversal, N=201 (ninos/adolescentes)</t>
  </si>
  <si>
    <t>[Pertenencia: Directa] Cortisol salival (AUCAG, AUCI, maximo) + HRV de 24h via ECG ambulatorio (LF, HF, LF/HF) + Perceived Stress Scale en 201 sujetos. La interaccion entre modulacion simpatovagal y respuesta de cortisol al despertar explica mas varianza del estres percibido (2-4% adicional) que cualquiera de los dos sistemas por separado, apoyando el Modelo Aditivo de Bauer et al. (2002): hiperactivacion simetrica de ambos sistemas (alto LF/LF-HF + alto cortisol) se asocia a mayor estres percibido. Articulo de referencia mas citado en la literatura posterior sobre inter-relacion SNA-HPA (citado explicitamente por Bennett et al. 2024 y Agorastos et al. 2019, ambos tambien en este lote).</t>
  </si>
  <si>
    <t>CONFIRMADO CON TEXTO COMPLETO. Poblacion pediatrica/adolescente (9-18 anos, en fase de adrenarquia): la maduracion del eje HPA en esa franja introduce un confusor que no aplica directamente a poblacion adulta con insuficiencia suprarrenal primaria - transferencia de dominio que la propia autoria del articulo NO discute (es un caveat introducido por esta revision, no una limitacion declarada por los autores; distincion relevante para no atribuirles un reconocimiento que no hicieron). C10 actualizado de 1 (tentativo) a 2: la Discusion incluye una seccion explicita de "Three study limitations" (diseno transversal que impide causalidad; la Perceived Stress Scale mide solo el ultimo mes, no estres cronico ni eventos vitales; HRV es gold standard para actividad parasimpatica pero solo medida indirecta de actividad simpatica). C3 mantenido en 1 (no en 2): el articulo describe extensamente en la Introduccion los mecanismos de coactivacion CRH-locus coeruleus y la diferencia de escalas temporales SNA (sinaptica, rapida) vs HPA (hormonal, minutos) como marco teorico, pero el analisis estadistico usa promedios diarios/agregados de 2 dias sin modelar el desfase temporal de forma analitica - coherente con Cvijetic/Mazgelyte de este mismo lote, que tampoco lo hacen, y se diferencia asi de Agorastos/Bennett que si razonan cuantitativamente sobre la cinetica del desfase (homogeneidad de criterio verificada dentro de RQ4). No usa wearables de consumo (ECG ambulatorio Vivometrics ± Kubios).</t>
  </si>
  <si>
    <t>Cvijetic et al. (2022)</t>
  </si>
  <si>
    <t>Diurnal Salivary Cortisol in Relation to Body Composition and Heart Rate Variability in Young Adults</t>
  </si>
  <si>
    <t>Frontiers in Endocrinology, 13, 831831</t>
  </si>
  <si>
    <t>PubMed / PMC (PMC8959541)</t>
  </si>
  <si>
    <t>10.3389/fendo.2022.831831</t>
  </si>
  <si>
    <t>Observacional piloto, N=43 (estudiantes universitarios sanos)</t>
  </si>
  <si>
    <t>[Pertenencia: TANGENCIAL, no Directa - ver Notas] Cortisol salival en 3 puntos (protocolo minimo Adam &amp; Kumari) + HRV via PPG en 43 universitarios. Encuentra asociacion entre predominancia simpatica (LF, LF/HF) y mayor tejido graso/menor masa osea, y entre menor masa muscular y menor LF/HF. La pregunta de investigacion primaria del estudio es composicion corporal, no la relacion SNA-HPA en si; el cruce cortisol-HRV es analisis secundario.</t>
  </si>
  <si>
    <t>Reclasificado como Tangencial (no Directa) pese a medir ambas variables, porque su RQ primaria es composicion corporal. N pequeno (43, solo 4 hombres - desequilibrio de sexo severo no discutido a fondo). Sin registro de actividad fisica ni estres psicologico como covariables (limitacion reconocida por los autores). No distingue explicitamente proxy vs. variable latente (C4=0). No usa wearables de consumo.</t>
  </si>
  <si>
    <t>Bennett, Tomas &amp; Fitzgerald (2024)</t>
  </si>
  <si>
    <t>Relationship between heart rate variability and differential patterns of cortisol response to acute stressors in mid-life adults: A data-driven investigation</t>
  </si>
  <si>
    <t>Stress and Health, 40(3), e3327</t>
  </si>
  <si>
    <t>PubMed / Wiley</t>
  </si>
  <si>
    <t>10.1002/smi.3327</t>
  </si>
  <si>
    <t>Observacional, modelado de trayectorias (latent growth mixture modelling), N=386 (cohorte MIDUS)</t>
  </si>
  <si>
    <t>[Pertenencia: Directa] Mayor N del set (386, cohorte MIDUS Refresher). Aborda de frente la inconsistencia entre estudios individuales sobre la relacion HRV-cortisol mediante latent growth mixture modelling (LGMM): identifica 3 trayectorias de cortisol ante estres de laboratorio (prototipica 80%, decline 7%, rise 13%) y muestra que la asociacion HRV-cortisol post-estres solo aparece en el subgrupo "prototipico" (r=0.19, p&lt;.001); en los subgrupos atipicos la relacion desaparece por completo. Evidencia empirica directa de que Demand(t) no puede tratarse como funcion uniforme de senales autonomicas: hay heterogeneidad de fenotipos de respuesta que una relacion lineal simple HR-&gt;Demand no captura.</t>
  </si>
  <si>
    <t>CONFIRMADO CON TEXTO COMPLETO (via repositorio, no version editorial). C10 actualizado de 1 (tentativo) a 2: la seccion de limitaciones es explicita y sustantiva (protocolo carece de fase anticipatoria de estres, por lo que no permite estudiar HRV anticipatoria por separado; muestra racialmente homogenea, &gt;80% blanca; edad media alta, 49 anos, con HRV conocida por decrecer con la edad, limitando generalizacion a poblacion mas joven). C4 se mantiene en 1 (no sube a 2): LGMM modela formalmente una variable de clase LATENTE (pertenencia a trayectoria de cortisol no observada, inferida desde los datos) - hay una coincidencia terminologica interesante con el concepto de variable latente del TFM, pero se trata de heterogeneidad de forma de la trayectoria de cortisol (una variable SI medida directamente), no de la distincion proxy-wearable/demanda-latente que pide el criterio C4; matiz a explicitar si se cita en la memoria para no sobrerrepresentar el paralelismo. Riesgo de sobreclaim a vigilar: las relaciones reportadas son correlacionales y los propios autores lo declaran explicitamente ("results... are correlational and do not imply causation") - no citar como evidencia causal HRV-&gt;cortisol. No usa wearables de consumo (ECG continuo intra-laboratorio, RMSSD). No hay riesgo de fuga de datos (no hay ML ni particion train/test).</t>
  </si>
  <si>
    <t>Hahner, S., Loeffler, M., Bleicken, B., Drechsler, C., Milovanovic, D., Fassnacht, M., Ventz, M., Quinkler, M., &amp; Allolio, B. (2010)</t>
  </si>
  <si>
    <t>Epidemiology of adrenal crisis in chronic adrenal insufficiency: the need for new prevention strategies</t>
  </si>
  <si>
    <t>European Journal of Endocrinology, 162, 597-602</t>
  </si>
  <si>
    <t>10.1530/EJE-09-0884</t>
  </si>
  <si>
    <t>Estudio observacional multicentrico (cuestionario), pacientes con insuficiencia suprarrenal primaria/secundaria</t>
  </si>
  <si>
    <t>Estres psiquico documentado como causa precipitante de crisis adrenal en 3,3% (IS primaria) y 3,6% (IS secundaria) de los casos - cifra exacta ya usada en la Seccion 3 (motivacion) de Evolucion v11.</t>
  </si>
  <si>
    <t>Ya verificada con texto completo por la autora el 27/07/2026 (nota presente en la hoja 'Extraccion_Estudios Gemini y yo', fila con ID 31). Corrige una cifra previa incorrecta (~20%) manejada en una version anterior del proyecto. Trasladada a la hoja canonica en v4.</t>
  </si>
  <si>
    <t>National Institute for Health and Care Excellence (NICE) (2024)</t>
  </si>
  <si>
    <t>Adrenal insufficiency: identification and management</t>
  </si>
  <si>
    <t>NICE guideline NG243</t>
  </si>
  <si>
    <t>nice.org.uk</t>
  </si>
  <si>
    <t>https://www.nice.org.uk/guidance/ng243</t>
  </si>
  <si>
    <t>Guia de practica clinica</t>
  </si>
  <si>
    <t>Guia de referencia que contempla explicitamente el ajuste de dosis ante estres psicologico agudo (a diferencia de Bornstein et al. 2016, centrada en estresores fisicos) - fuente directa de la motivacion del TFM (Seccion 3).</t>
  </si>
  <si>
    <t>Verificada con PDF completo (publicada 28/08/2024, 63 paginas) el 24/08/2026. No es un estudio primario en sentido estricto: no aplica la mayoria de los 12 criterios de calidad disenados para estudios empiricos; se puntua solo lo aplicable (C9, C10). Anadida en v4.</t>
  </si>
  <si>
    <t>RQ7</t>
  </si>
  <si>
    <t>Pathmanathan et al. (2024)</t>
  </si>
  <si>
    <t>Credibility assessment of in silico clinical trials for medical devices</t>
  </si>
  <si>
    <t>PLOS Computational Biology, 20(8), e1012289</t>
  </si>
  <si>
    <t>PubMed / PMC (PMC11309390)</t>
  </si>
  <si>
    <t>10.1371/journal.pcbi.1012289</t>
  </si>
  <si>
    <t>Revision metodologica / propuesta de framework, autoria FDA (Center for Devices and Radiological Health)</t>
  </si>
  <si>
    <t>[Pertenencia: Directa] Revision de ensayos clinicos in silico (ISCT) reales para dispositivos medicos, cubriendo pacientes virtuales subject-specific vs. "sinteticos" puros, e incorporando un framework jerarquico de credibilidad basado en ASME V&amp;V 40 y la guia de la FDA sobre modelado computacional. Distingue explicitamente verificacion, validacion y cuantificacion de incertidumbre (V&amp;V+UQ) como pilares separados, y propone un flujo de trabajo de credibilidad adaptable segun el nivel de riesgo de la decision que el modelo informa. Es la referencia mas directamente aplicable del set al marco metodologico de validacion funcional del TFM.</t>
  </si>
  <si>
    <t>Autoria mayoritariamente de la FDA (CDRH) - perspectiva regulatoria de EEUU, puede no reflejar estandares equivalentes de otras agencias (EMA, etc.). Comparte 3 autores y el mismo proyecto (ISCT Enrichment Project) con el estudio de Aycock et al. (2024) incluido tambien en esta RQ - no tratar como dos fuentes plenamente independientes en la discusion, sino como dos piezas complementarias del mismo esfuerzo FDA-industria.</t>
  </si>
  <si>
    <t>Aycock et al. (2024)</t>
  </si>
  <si>
    <t>Toward trustworthy medical device in silico clinical trials: a hierarchical framework for establishing credibility and strategies for overcoming key challenges</t>
  </si>
  <si>
    <t>Frontiers in Medicine, 11, 1433372</t>
  </si>
  <si>
    <t>PubMed / PMC (PMC11346031)</t>
  </si>
  <si>
    <t>10.3389/fmed.2024.1433372</t>
  </si>
  <si>
    <t>Revision metodologica / propuesta de framework jerarquico, proyecto FDA-industria (ISCT Enrichment Project)</t>
  </si>
  <si>
    <t>[Pertenencia: Directa] Propone evaluar la credibilidad de un ISCT de forma jerarquica: primero recolectando evidencia de credibilidad para cada submodelo (modelo de paciente virtual, modelo del dispositivo, modelo de mapeo a resultado clinico) de forma aislada, antes de establecer la credibilidad del ISCT completo. Identifica retos comunes para demostrar credibilidad (generacion de cohortes virtuales, modelos de decision clinica, mapeo a resultados) e ilustra el enfoque con un caso hipotetico completo en apendice - un precedente metodologico directo para descomponer la validacion del sistema hibrido del TFM (StressLoad-Demand-Coverage-Risk) en componentes evaluables por separado.</t>
  </si>
  <si>
    <t>Mismo proyecto y solapamiento de autoria con Pathmanathan et al. (2024) en esta misma RQ (ver nota cruzada). Enfocado en dispositivos medicos en sentido amplio, no en CDSS de software puro - la transferencia de dominio a un sistema de software (no un dispositivo fisico) requiere justificacion explicita en la RSL.</t>
  </si>
  <si>
    <t>Cobelli &amp; Kovatchev (2023)</t>
  </si>
  <si>
    <t>Developing the UVA/Padova Type 1 Diabetes Simulator: Modeling, Validation, Refinements, and Utility</t>
  </si>
  <si>
    <t>Journal of Diabetes Science and Technology, 17(6), 1493-1505</t>
  </si>
  <si>
    <t>PubMed / PMC (PMC10658679)</t>
  </si>
  <si>
    <t>10.1177/19322968231195081</t>
  </si>
  <si>
    <t>Revision historica/tecnica del desarrollo y validacion de un simulador in silico, aceptado por la FDA como sustituto de ensayos en animales</t>
  </si>
  <si>
    <t>[Pertenencia: Directa - precedente regulatorio mas fuerte del set] En 2008 la FDA acepto, de forma sin precedentes, un simulador computacional (300 "sujetos" virtuales con parametros metabolicos distintos) como SUSTITUTO de los ensayos en animales para probar algoritmos de control en lazo cerrado de insulina (paramo directo al Risk(t)/Coverage(t) del TFM: es literalmente un CDSS de dosificacion hormonal validado solo con escenarios sinteticos antes de pasar a humanos). El articulo documenta la evolucion del simulador (S2008 -&gt; S2013 -&gt; version multi-dia) y como sus limitaciones de dominio de validez (inicialmente solo escenarios de una comida) se fueron ampliando progresivamente. De los algoritmos desarrollados asi, 6 llegaron a uso clinico real hacia 2023.</t>
  </si>
  <si>
    <t>Dominio de aplicacion es diabetes/insulina, no insuficiencia suprarrenal/hidrocortisona - es un precedente METODOLOGICO y REGULATORIO trasladable, no evidencia fisiologica directa sobre el eje HPA. Citar con esa salvedad explicita: "por analogia con..." no "en insuficiencia suprarrenal...". Autoria de los propios desarrolladores del simulador - posible sesgo de autopromocion a considerar al leer las secciones de utilidad/exito clinico.</t>
  </si>
  <si>
    <t>Chen et al. (2019)</t>
  </si>
  <si>
    <t>The validity of synthetic clinical data: a validation study of a leading synthetic data generator (Synthea) using clinical quality measures</t>
  </si>
  <si>
    <t>BMC Medical Informatics and Decision Making, 19, 44</t>
  </si>
  <si>
    <t>PubMed / PMC</t>
  </si>
  <si>
    <t>10.1186/s12911-019-0793-0</t>
  </si>
  <si>
    <t>Estudio de validacion empirica, cohorte sintetica de 1.2 millones de pacientes (Massachusetts, generador Synthea) comparada contra tasas reales publicadas</t>
  </si>
  <si>
    <t>[Pertenencia: Directa] Compara 4 medidas de calidad clinica calculadas sobre una cohorte sintetica de 1.2 millones de pacientes generada por Synthea frente a las tasas reales publicadas de Massachusetts y nacionales. Hallazgo critico y cuantificado: la mortalidad a 30 dias simulada tras exacerbacion de EPOC fue 0.7% frente al 7-8% real reportado - un desfase de un orden de magnitud. Los autores concluyen que Synthea modela bien la demografia y la probabilidad de recibir servicios, pero NO modela desviaciones de la practica clinica estandar ni sus resultados asociados. Es la cuantificacion empirica mas concreta del set sobre cuanto puede desviarse un escenario sintetico de la realidad si no se disena con ese objetivo explicito.</t>
  </si>
  <si>
    <t>Evalua un generador de datos sinteticos general (registros electronicos), no un CDSS especifico - la relevancia para RQ7 es indirecta pero la cuantificacion del desfase es la evidencia empirica mas concreta del set sobre limites de validez externa. No usar como evidencia sobre CDSS de dosificacion hormonal especificamente.</t>
  </si>
  <si>
    <t>Koul, Duran &amp; Hernandez-Boussard (2025)</t>
  </si>
  <si>
    <t>Synthetic data, synthetic trust: navigating data challenges in the digital revolution</t>
  </si>
  <si>
    <t>The Lancet Digital Health, 7(11), 100924</t>
  </si>
  <si>
    <t>PubMed / PMC (PMC12778113)</t>
  </si>
  <si>
    <t>10.1016/j.landig.2025.100924</t>
  </si>
  <si>
    <t>Viewpoint/perspectiva editorial (no estudio empirico primario)</t>
  </si>
  <si>
    <t>[Pertenencia: CONTEXTUAL, no Directa] Viewpoint que introduce el concepto de "confianza sintetica" (synthetic trust): la confianza injustificada en modelos entrenados o validados con datos artificiales que no preservan validez clinica ni representatividad demografica. Argumenta que el uso creciente de datos sinteticos en IA medica puede propagar sesgos, acelerar la degradacion de modelos y comprometer la generalizacion entre poblaciones. No aporta evidencia empirica propia, pero articula con precision el riesgo conceptual central que el TFM debe reconocer explicitamente al basar su validacion funcional en escenarios sinteticos.</t>
  </si>
  <si>
    <t>Es un articulo de opinion/perspectiva (Viewpoint), no un estudio primario - no aporta evidencia empirica propia (C1, C6 y C12 marcados N/A por no aplicar a este tipo de articulo). Incluido pese a su naturaleza no empirica porque responde directamente a la segunda mitad de RQ7 ("que limitaciones de validez externa conllevan"), que ningun otro estudio del set aborda de forma tan centrada y explicita.</t>
  </si>
  <si>
    <t>RQ9</t>
  </si>
  <si>
    <t>Dunn et al. (2021)</t>
  </si>
  <si>
    <t>Wearable sensors enable personalized predictions of clinical laboratory measurements</t>
  </si>
  <si>
    <t>Nature Medicine, 27(6), 1105-1112</t>
  </si>
  <si>
    <t>10.1038/s41591-021-01339-0</t>
  </si>
  <si>
    <t>Observacional longitudinal, modelos Random Forest y Lasso, cohorte wearables Stanford</t>
  </si>
  <si>
    <t>[Pertenencia: Directa, como precedente metodologico] Confirmado con texto completo (PMC author manuscript, HHS Public Access). Senales de wearables de consumo (HR, temperatura corporal, actividad electrodermica, movimiento) predicen multiples parametros de laboratorio clinico (hematocrito, hemoglobina, recuento de eritrocitos y plaquetas con mejor desempeno) usando Random Forest, Lasso y CCA regularizada, con validacion leave-one-person-out (LOPOCV) explicita. Los modelos personalizados (media + pendiente individual) explican en promedio un 43% mas de varianza que los modelos poblacionales - precedente metodologico directo para la personalizacion de Demand(t)/Coverage(t) en el caso n-of-1 del TFM. Referencia de mayor perfil editorial del set (Nature Medicine).</t>
  </si>
  <si>
    <t>Texto completo confirmado (PDF HHS Public Access, Nat Med 2021). C10 actualizado de tentativo (1) a confirmado (2): la Discusion incluye limitaciones sustantivas y especificas -- tamano de cohorte iPOP limitado (n=54), generalizabilidad condicionada al entrenamiento en la cohorte de destino, y sesgo de seleccion en el dataset SEHR (los pacientes con mas visitas clinicas tienden a estar mas enfermos, Fig. Ext. 2b). C2 corregido de 2 a N/A: el estudio no predice ningun analito endocrino/glucocorticoide -- predice un panel amplio de labs clinicos (hematologicos, metabolicos, etc.); el criterio C2 (validez de la medida de referencia ENDOCRINA) no es aplicable a este diseno, y puntuarlo como 2 sobrestimaba su relevancia directa para RQ9. No infiere cortisol/eje HPA en ningun momento -- sigue siendo util unicamente como precedente metodologico (RF/Lasso, personalizacion, LOPOCV) para el paradigma 'wearable -&gt; variable de laboratorio latente', no como evidencia fisiologica sobre HPA. [Homogeneidad C9/C12 aplicada 25/08/2026, decision de la autora: estos dos criterios son transversales, no exclusivos de estudios PK/fusion, y se puntuan ahora en todas las filas tecnicas de RQ9 en vez de N/A.] C9=2: framing explicito de soporte a la decision con limite claro de responsabilidad -- cita textual: 'Presently, we do not anticipate diagnostic use of the current models; however, they can be used to suggest further clinical testing'. Es el ejemplo mas limpio del set de framing CDSS correcto. C12=2: distingue implicitamente validacion funcional de eficacia clinica (mismo pasaje anterior) y aporta analisis de sensibilidad genuino -- comparacion sistematica de ventanas temporales (1 dia/3 dias/1 semana/1 mes/todos los datos, Fig. 4a) y de complejidad de modelo (univariante/multivariante/Lasso/RF/CCA), ademas de bootstrap de 1000 repeticiones para intervalos de confianza.</t>
  </si>
  <si>
    <t>Saskovets, Lohachov &amp; Liang (2025)</t>
  </si>
  <si>
    <t>Cortisol Estimation Using Wearable Wristbands: Comparing Multilevel Modelling and Machine Learning</t>
  </si>
  <si>
    <t>Proceedings of the 2025 IEEE 14th Global Conference on Consumer Electronics (GCCE 2025), Osaka, Japon</t>
  </si>
  <si>
    <t>IEEE Xplore / ResearchGate</t>
  </si>
  <si>
    <t>Pendiente de DOI IEEE definitivo (verificar en IEEE Xplore tras publicacion de actas)</t>
  </si>
  <si>
    <t>Observacional, comparacion Random Forest vs. Modelado Multinivel (MMM), N=175 muestras de cortisol / 5 fases experimentales</t>
  </si>
  <si>
    <t>[Pertenencia: Directa] Confirmado con texto completo. Compara Random Forest frente a Modelado Multinivel Multivariante (MMM) para predecir cortisol a partir de HR, HRV, actividad electrodermica, aceleracion y temperatura cutanea captados por wearable de muneca (Empatica E4, N=35 participantes, 175 muestras de cortisol salival en 5 fases). RF obtiene R2=0.510 (vs. 0.433 de MMM) con validacion GroupKFold de 3 folds agrupada por participante (evita fuga de datos entre sujetos, confirmado en texto completo); EDA aporta el 60% de la importancia de caracteristicas, seguida de HR. El MMM modela explicitamente varianza inter-individual mediante intercepto y pendientes aleatorias por participante (EDA, HR, HRV, TEMP) - ejemplo directo de manejo de variabilidad inter-individual (C8). Trade-off explicito precision-vs-interpretabilidad, exactamente el dilema central de RQ9.</t>
  </si>
  <si>
    <t>Texto completo confirmado (IEEE GCCE 2025, 2 paginas). Tres correcciones tras lectura completa: (1) C10 de tentativo (1) a confirmado (0): la Conclusion no contiene una seccion de limitaciones sustantiva -- solo menciona de forma generica 'small sample sizes and multimodal signal variability pose significant challenges' en la introduccion y cierra con framing de trabajo futuro ('explore hybrid modeling approaches'), sin discutir el R2 moderado (0.510), el riesgo de sobreajuste con solo 3-fold y 175 muestras, ni la seleccion de la ventana de 1 minuto (que los propios autores optimizaron por correlacion, riesgo de sesgo optimista no discutido). (2) C1 de 2 a 1: el protocolo de induccion de estres (IMPRO, habla improvisada) no se describe en este articulo -- se remite integramente a la referencia [10] (Saskovets et al. 2024, bioRxiv), por lo que la trazabilidad no es autocontenida. (3) C2 de 2 a 1: no se especifica metodo de ensayo del cortisol salival ni control explicito del timing circadiano de las 175 muestras -- el criterio exige ambos elementos. DOI de las actas IEEE sigue sin confirmar definitivamente (ver celda G29). [Homogeneidad C9/C12 aplicada 25/08/2026.] C9=0: no hay ningun encuadre explicito como CDSS ni declaracion de limites de responsabilidad clinica -- el articulo se limita a mencionar aplicaciones en 'health technology and personalized interventions' sin matizar el alcance. C12=0: validacion reducida a un unico split de 3-fold GroupKFold, sin intervalos de confianza/bootstrap, sin analisis de sensibilidad frente a ruido o variacion de parametros, y sin distinguir explicitamente validacion funcional de eficacia clinica real.</t>
  </si>
  <si>
    <t>Cao, Huang, Rahmani &amp; Lindsay (2022)</t>
  </si>
  <si>
    <t>Prenatal Cortisol Levels Estimation Using Heart Rate and Heart Rate Variability: A Weak Supervised Learning Based Approach</t>
  </si>
  <si>
    <t>2022 44th Annual International Conference of the IEEE Engineering in Medicine &amp; Biology Society (EMBC), pp. 4430-4433</t>
  </si>
  <si>
    <t>PubMed / IEEE Xplore</t>
  </si>
  <si>
    <t>10.1109/EMBC48229.2022.9871718</t>
  </si>
  <si>
    <t>Observacional, estimacion de cortisol salival mediante aprendizaje debilmente supervisado a partir de HR/HRV, mujeres embarazadas</t>
  </si>
  <si>
    <t>[Pertenencia: Directa - es el ajuste mas literal a RQ9] Los propios autores declaran que es el primer intento, hasta donde saben, de estimar niveles de cortisol salival directamente desde HR y HRV captados con banda ECG de pecho en mujeres embarazadas, en lugar de usar cortisol como insumo de otro modelo. Es decir, invierte la direccion habitual (cortisol+HRV-&gt;outcome) hacia la direccion que interesa al TFM (HRV-&gt;cortisol estimado). Companion study del mismo grupo (Cao, Rahmani &amp; Lindsay, PLoS One 2022, N=29) usa cortisol como insumo, no como variable inferida - no confundir ambos papeles en la discusion.</t>
  </si>
  <si>
    <t>Texto completo confirmado (IEEE EMBC 2022). Dos correcciones al alza tras lectura completa: (1) C6 de tentativo (1) a confirmado (2): los autores usan explicitamente 'Leave-one-subject-out cross-validation... to evaluate performance in terms of generalizability', incluyendo solo etiquetas 'fuertes' (reales, no generadas por Snorkel) en el conjunto de test -- es precisamente el metodo que el criterio C6 nombra como estandar (LOSO), y evita fuga de datos entre sujetos. (2) C10 de tentativo (1) a confirmado (2): la Discusion (Seccion V) reconoce explicitamente al menos dos limitaciones concretas y no genericas -- ausencia de un valor de referencia de cortisol basal especifico para embarazadas en la misma etapa gestacional (fuente de posible sesgo en el umbral BL), y la imposibilidad etica de inducir niveles altos de cortisol mediante estimulacion intensa dado el riesgo para la salud materno-fetal (limita el rango dinamico de la variable objetivo). C1 (1) y C5 (1) se mantienen sin cambios: el N exacto de gestantes no se declara en el cuerpo del articulo (solo se infiere via el estudio companero de 29 sujetos), y la interpretabilidad se limita a ranking de features por Gini impurity sin SHAP/LIME. C8 (0) se mantiene: no hay normalizacion o baseline individualizado por sujeto en el preprocesamiento de HR/HRV. [Homogeneidad C9/C12 aplicada 25/08/2026.] C9=1: no hay declaracion explicita de framing CDSS/limites de responsabilidad, pero tampoco reivindica diagnostico autonomo -- usa lenguaje cauto ('estimation') en todo el texto y muestra conciencia clinica explicita al no inducir niveles altos de cortisol por riesgo materno-fetal; credito parcial por prudencia implicita, no por declaracion formal. C12=1: usa LOSO (diseno solido, ver C6) y compara 6 clasificadores, pero no hay analisis de sensibilidad a ruido ni variacion parametrica explicita, ni distincion formal entre validacion funcional y eficacia clinica.</t>
  </si>
  <si>
    <t>Kim et al. (2025)</t>
  </si>
  <si>
    <t>Machine learning-based fatigue classification using heart rate variability and cortisol: A multimodal approach to wearable health monitoring</t>
  </si>
  <si>
    <t>Digital Health, 11, 20552076251395570</t>
  </si>
  <si>
    <t>PubMed / PMC (PMC12602915)</t>
  </si>
  <si>
    <t>10.1177/20552076251395570</t>
  </si>
  <si>
    <t>Observacional transversal, modelo TabNet (deep learning) + SHAP/importancia por permutacion, N=336</t>
  </si>
  <si>
    <t>[Pertenencia: TANGENCIAL, no Directa - ver Notas] Predice niveles de fatiga (Fatigue Severity Scale) combinando cortisol sanguineo y HRV mediante TabNet, con SHAP y permutation importance para interpretabilidad. Hallazgo clave: el modelo solo-HRV (AUC=0.774) iguala o supera al modelo HRV+cortisol (AUC=0.741) - anadir el biomarcador endocrino no mejora el rendimiento, y un subconjunto reducido (edad, cortisol, VLF logaritmica) basta para rendimiento comparable (AUC=0.759). Metodologicamente es el estudio mas riguroso del set en interpretabilidad (SHAP + permutation importance + CV estratificada 5-fold).</t>
  </si>
  <si>
    <t>Reclasificado como Tangencial (no Directa) pese a su alta calidad tecnica: el cortisol aqui es una variable de entrada YA MEDIDA (sangre), no una variable latente inferida a partir de proxies autonomicos - es el sentido opuesto al que pide RQ9 (C4=0). El outcome inferido es fatiga (constructo subjetivo/conductual), no una variable hormonal/metabolica. Limitaciones declaradas explicitamente por los autores: discordancia temporal entre biomarcador y escala de fatiga (hasta 7 dias), diseno transversal que impide causalidad. [Homogeneidad C9/C12 aplicada 25/08/2026, texto completo confirmado.] C9=0: no hay encuadre explicito como CDSS ni declaracion de limites diagnosticos -- el framing se limita a 'potential for practical implementation in wearable devices' sin matizar el alcance clinico. C12=2: diseno de validacion solido -- comparan 3 configuraciones experimentales (con/sin cortisol, seleccion de features), reportan AUC de validacion Y de test por separado (permite detectar sobreajuste: el modelo sin cortisol muestra la mayor discrepancia val-test, señal explicita de riesgo de sobreajuste discutida por los autores), y encuadran explicitamente el estudio como avance conceptual pendiente de 'larger longitudinal datasets... to validate and enhance the clinical utility' -- distincion implicita clara entre validacion funcional actual y eficacia clinica futura.</t>
  </si>
  <si>
    <t>Ghose, Chatterjee, Balapuwaduge, Lin &amp; Dash (2025)</t>
  </si>
  <si>
    <t>Investigating lightweight and interpretable machine learning models for efficient and explainable stress detection</t>
  </si>
  <si>
    <t>Frontiers in Digital Health, 7, 1523381</t>
  </si>
  <si>
    <t>PubMed / PMC (PMC12380676)</t>
  </si>
  <si>
    <t>10.3389/fdgth.2025.1523381</t>
  </si>
  <si>
    <t>Observacional/benchmark tecnico, modelos ligeros (k-NN, Decision Tree) + LIME, dataset SWELL-KW</t>
  </si>
  <si>
    <t>[Pertenencia: TANGENCIAL] Evalua modelos ML ligeros (k-NN, Decision Tree) para clasificacion de estres usando el dataset publico SWELL-KW (el mismo dataset proxy citado explicitamente en el Project Charter del TFM), con seleccion de caracteristicas via ANOVA y explicabilidad via LIME. k-NN alcanza 99.3% de accuracy con solo 3 caracteristicas seleccionadas, validado ademas en un dispositivo edge (NVIDIA Jetson Orin Nano, 99.26% accuracy, 31s de entrenamiento) - evidencia de factibilidad de despliegue en wearables/IoT de bajo recursos.</t>
  </si>
  <si>
    <t>Relevancia dual: tecnicamente util como precedente de despliegue ligero e interpretable sobre SWELL-KW, pero NO aborda ninguna variable hormonal/metabolica (SWELL-KW no incluye cortisol ni ground truth endocrino - C2=0) ni distingue proxy de variable latente en el sentido de Demand(t) (C4=0). No usar como evidencia de que un modelo ligero pueda inferir carga glucocorticoidea: solo demuestra viabilidad computacional de clasificar estados categoricos de estres a partir de HRV. [Correccion C6 tras lectura completa, 25/08/2026: 1 -&gt; 0.] El dataset SWELL-KW tiene 410,322 registros de solo 25 participantes (~16,400 ventanas/sujeto en promedio) y el articulo especifica unicamente 'k-fold cross-validation' generica (Seccion 4.4) sin mencionar en ningun momento agrupamiento por sujeto (GroupKFold/LOSO) -- riesgo de fuga de datos severo y no discutido, exactamente el patron que el criterio C6 exige penalizar (RQ3: 'un split aleatorio intra-sujeto infla artificialmente el rendimiento'). La precision reportada (99.3% con k-NN) es coherente con este patron de fuga. [Homogeneidad C9/C12 aplicada.] C9=0: framing puramente tecnico/IoT ('stress detection... for IoT edge deployment'), sin encuadre CDSS ni declaracion de limites clinicos. C12=1: hay analisis de sensibilidad genuino -- comparacion top-2 vs. top-3 features (Tablas 2-3), validacion cruzada de ranking de importancia entre ANOVA y Extra Trees (Seccion 6.2), y chequeo explicito de sobreajuste train-vs-validacion (Seccion 6.5, &lt;0.5% de desviacion) -- pero estos analisis quedan comprometidos por el riesgo de fuga de C6 no declarado (un split con fuga entre sujetos no detectaria sobreajuste real), y no hay distincion explicita entre validacion funcional y eficacia clinica -- credito parcial, no completo.</t>
  </si>
  <si>
    <t>Schmidt, P., Reiss, A., Duerichen, R., Marberger, C., &amp; Van Laerhoven, K. (2018)</t>
  </si>
  <si>
    <t>WESAD: A Multimodal Dataset for Wearable Stress and Affect Detection</t>
  </si>
  <si>
    <t>ICMI '18: Proceedings of the 20th ACM International Conference on Multimodal Interaction, 400-408</t>
  </si>
  <si>
    <t>10.1145/3242969.3242985</t>
  </si>
  <si>
    <t>Dataset multimodal de laboratorio (protocolo TSST + Stroop), N=15</t>
  </si>
  <si>
    <t>Dataset y protocolo (TSST+Stroop) que sustenta el entrenamiento completo de StressLoad(t) (Caminos A/B) y ancla la severidad de estres representable por D_ref (Seccion 6.1).</t>
  </si>
  <si>
    <t>Fuente tecnica mas citada de todo el proyecto; no estaba registrada como entrada propia en la hoja canonica pese a sustentar las Secciones 6.1, 6.3, 6.4 y 8.3 completas. Anadida en v4 a partir de comparacion con Evolucion del proyecto v11.</t>
  </si>
  <si>
    <t>Bowman, C., Huang, Y., Walch, O. J., Fang, Y., Frank, E., Tyler, J., Mayer, C., Stockbridge, C., Goldstein, C., Sen, S., &amp; Forger, D. B. (2021)</t>
  </si>
  <si>
    <t>A method for characterizing daily physiology from widely used wearables</t>
  </si>
  <si>
    <t>Cell Reports Methods, 1(4), 100058</t>
  </si>
  <si>
    <t>10.1016/j.crmeth.2021.100058</t>
  </si>
  <si>
    <t>Metodologico - ajuste cosinor bayesiano (MCMC) de ritmos circadianos desde wearables de consumo</t>
  </si>
  <si>
    <t>Duplicado de Bowman et al. (2021) ya registrado en la hoja 'Referencias_Metodologicas' (ID 41), donde consta su rol metodologico real (baseline circadiano n-of-1, Seccion 6.2: ajuste cosinor con ruido AR(1)/Ornstein-Uhlenbeck via MCMC). Esta fila en RQ9 se excluye para evitar doble conteo del mismo estudio en dos hojas distintas. El comentario previo de la celda Motivo_Exclusion, que remitia a una supuesta fila 42 con el mismo estudio bajo 'Metodologia', era obsoleto (la fila 42 actual corresponde a Tsigos &amp; Chrousos 2002, RQ4, sin relacion con Bowman) - corregido y puntuaciones de calidad eliminadas el 25/08/2026.</t>
  </si>
  <si>
    <t>Review on Psychological Stress Detection Using Biosignals</t>
  </si>
  <si>
    <t>IEEE Transactions on Affective Computing, 13(1), 440-460</t>
  </si>
  <si>
    <t>IEEE Xplore</t>
  </si>
  <si>
    <t>10.1109/TAFFC.2019.2927337</t>
  </si>
  <si>
    <t>Revision narrativa sobre deteccion de estres psicologico mediante bioseñales (EEG, ECG, EDA, EMG, voz, etc.)</t>
  </si>
  <si>
    <t>Revision de la literatura (no RSL formal con PRISMA) sobre patrones de biosignals durante estres psicologico agudo en laboratorio, sintetizando &gt;260 estudios primarios en tablas de consistencia direccional (aumenta/disminuye/sin cambio) por caracteristica (EEG, EDA, HRV, temperatura, voz, pupila). HR se identifica como la medida mas usada y fiable para la dimension de arousal, pero explicitamente solo para arousal, no demanda glucocorticoide. Dedica una seccion completa (Seccion 5, 'Ground truth of stress') a problematizar el ground truth del estres como constructo multifacetico sin medida directa, y reconoce que la mayoria de biosignals son un 'personalized imprint' que requiere calibracion de baseline individual -- apoya directamente la seccion conceptual del TFM sobre StressLoad(t) como variable inferida, no observada.</t>
  </si>
  <si>
    <t>No es un estudio empirico propio con muestra/protocolo -- la mayoria de criterios (C1, C2, C6, C7, C9, C11) se puntuan N/A porque evaluan atributos de un estudio primario, no de una revision narrativa de biosignals; la puntuacion total baja (6/24) no refleja menor calidad sino menor aplicabilidad de estos criterios, disenados para estudios primarios de la diada HRV-cortisol. No aborda explicitamente el desfase temporal SNA vs HPA (C3=0): el foco es biosignals en general, no la cinetica diferencial cortisol/HR. No discute explicabilidad de ML (C5=0) pese a listar decenas de clasificadores en la Tabla 7 -- reporta solo accuracy. Riesgo de sobreclaim si se cita sin matiz: el propio titulo 'stress detection' puede leerse como implicando medicion directa del estres; el TFM debe citarlo en el sentido preciso de 'biosignal features asociadas a activacion fisiologica de arousal', no de deteccion de estres per se.</t>
  </si>
  <si>
    <t>Kim, H. G., Cheon, E. J., Bai, D. S., Lee, Y. H., &amp; Koo, B. H. (2018)</t>
  </si>
  <si>
    <t>Stress and Heart Rate Variability: A Meta-Analysis of Autonomic Nervous System Response to Stress</t>
  </si>
  <si>
    <t>Psychiatry Investigation, 15(3), 235–245.</t>
  </si>
  <si>
    <t>ResearchGate</t>
  </si>
  <si>
    <t>10.30773/pi.2017.08.17</t>
  </si>
  <si>
    <t>Meta-analisis y revision de la literatura sobre HRV como indicador de estres psicologico (37 estudios)</t>
  </si>
  <si>
    <t>Revision sistematica (37 estudios, busqueda en Web of Science/PubMed/Google Scholar con diagrama de flujo tipo PRISMA, Figura 1) sobre HRV como indicador objetivo de estres psicologico. Hallazgo central: el patron mas consistente entre estudios es actividad parasimpatica reducida (descenso de HF, aumento de LF/HF) durante estres, con evidencia de neuroimagen que vincula HRV a regiones corticales (mPFC ventral) implicadas en la apreciacion de amenaza -- aporta el enlace mecanistico cerebro-corazon que sostiene el uso de HR/HRV como proxy de activacion fisiologica del estres. Explicitamente cauteloso en el framing: recomienda tratar HRV como 'reflejo de actividad autonomica y salud general', no como diagnostico de una enfermedad mental especifica -- alineado con el framing CDSS (no diagnostico) del TFM.</t>
  </si>
  <si>
    <t>Aunque el titulo dice 'meta-analysis', metodologicamente es una sintesis narrativa con tabla descriptiva (Tabla 3) de 20 estudios de reactividad HRV, no un meta-analisis cuantitativo con tamanos de efecto agregados -- relevante para no sobrerrepresentar su rigor estadistico en la memoria (a diferencia de Dickerson &amp; Kemeny 2004, ID49 de este mismo lote, que si es un meta-analisis formal). Resuelve la inconsistencia detectada previamente en el Excel (columna Texto_Completo_Disponible marcada 'Si' sin puntuacion asociada -- ya corregida en esta revision). Heterogeneidad amplia entre los 37 estudios primarios revisados (tareas de estres, poblaciones, metricas HRV) que la propia revision reconoce sin resolver mediante meta-analisis formal. No aborda el desfase temporal SNA-HPA de forma explicita (C3 puntuado parcial: describe el vinculo HRV-cortisol via mPFC pero no cuantifica la cinetica diferencial); no aplica ML ni farmacocinetica (N/A).</t>
  </si>
  <si>
    <t>Shao Ming Ng,Jee-Hou Ho, Bee Ting Chan, March 2026</t>
  </si>
  <si>
    <t>Multimodal wearable sensor-based stress detection: machine learning pipeline with systematic feature selection and key biomarker insights</t>
  </si>
  <si>
    <t>Biomedical Physics &amp; Engineering Express 12(2)</t>
  </si>
  <si>
    <t>IOPscience</t>
  </si>
  <si>
    <t>10.1088/2057-1976/ae4c93</t>
  </si>
  <si>
    <t>Pipeline de ML con seleccion sistematica de features para deteccion de estres multimodal con wearables</t>
  </si>
  <si>
    <t>[Pertenencia:Tangencial] Pipeline ML multimodal (EDA+ECG+EEG, 17 sujetos) que compara sistemáticamente cuatro métodos de selección de features (ANOVA, Chi2, KW, MRMR) para clasificación binaria estrés/relajación (95.9% accuracy con Chi2), con validación externa en SRAD e identificación de biomarcadores interpretables por modalidad. Relevancia limitada a la dimensión metodológica de interpretabilidad y comparación de técnicas de feature selection (C5=2); no aporta evidencia sobre eje HPA, ground truth endocrino, cinética PK, ni algoritmo de fusión Demand-Coverage — dimensiones centrales de RQ9 que el estudio no aborda por estar fuera de su dominio (clasificación SNA-only con ground truth conductual, no inferencia de variable latente).</t>
  </si>
  <si>
    <t>Score compuesto bajo (7-8/24) frente a la rúbrica C1-C12: ground truth puramente conductual sin validación endocrina (C2=0); sin tratamiento de cinética SNA-HPA ni de su desfase temporal (C3=0); no distingue señal observada de estado fisiológico latente — trata "estrés" como directamente clasificable (C4=0); sin parámetros PK (C7=0, no aplica al dominio); sin normalización/baseline individualizado por sujeto (C8=0); fusión multimodal es concatenación simple de features sin cálculo formal de mismatch entre series (C11=0). Riesgo de fuga de datos por ventanas solapadas con posible split no subject-independent, no discutido por los autores pese a sección de limitaciones dedicada (C6=1, C10=1). Fortaleza real y única: comparación sistemática de métodos de feature selection con interpretabilidad explícita (C5=2), aprovechable como referencia metodológica en la discusión de ML interpretable del marco conceptual, no como evidencia sustantiva de RQ9. [Actualizacion 25/08/2026: texto completo confirmado (Biomed. Phys. Eng. Express, articulo completo de 18 paginas). Las 12 puntuaciones de calidad asignadas previamente se verifican contra el texto integro y se mantienen sin cambios -- la lectura completa confirma en detalle cada uno de los senalamientos ya hechos: proteccion metodologica via LOSO no declarada para el split interno propio (solo se especifica agrupamiento por sujeto en la validacion externa con SRAD, no en el dataset propio de 17 participantes, pese a usar ventanas solapadas del mismo sujeto -- Seccion 2.2), ausencia total de ground truth endocrino, y fusion multimodal por concatenacion simple de features (no hay calculo formal de mismatch). Texto_Completo_Disponible actualizado de vacio a 'Si'.]</t>
  </si>
  <si>
    <t>Czock, D., Keller, F., Rasche, F. M., &amp; Häussler, U. (2005)</t>
  </si>
  <si>
    <t>Pharmacokinetics and pharmacodynamics of systemically applied glucocorticoids</t>
  </si>
  <si>
    <t>Clinical Pharmacokinetics, 44(1), 61–98</t>
  </si>
  <si>
    <t>Gemini</t>
  </si>
  <si>
    <t>https://doi.org/10.2165/00003088-200544010-00003</t>
  </si>
  <si>
    <t>Revisión sistemática y meta-análisis farmacocinético/farmacodinámico.</t>
  </si>
  <si>
    <t>[Pertenencia: Directa] Revision narrativa extensa (Clin Pharmacokinet 2005;44(1):61-98) que reporta parametros PK poblacionales agrupados (pooled mean +/- pooled SD) de hidrocortisona oral: F=96+/-20%, tmax=1.2+/-0.4h, t1/2=1.8+/-0.5h (Tabla I, Seccion 1.2.1). Los valores de tmax y t1/2 calculados a partir de ka=1.3874 h-1 / ke=0.4077 h-1 (tmax_calc=1.25h; t1/2_calc=1.70h) caen dentro de estos rangos poblacionales, aportando una validacion cruzada independiente de Simon et al. (2010) para los parametros de Coverage(t). Incluye ademas una simulacion PK/PD propia (compartimental + respuesta indirecta, Ecs.5-14, Seccion 6.3.3) como precedente metodologico directo para el diseno de Coverage(t)/Demand(t), y discute explicitamente modelos de linea base circadiana para cortisol (Fourier vs. funciones seno) relevantes para la forma funcional de Demand_circadian(t).</t>
  </si>
  <si>
    <t>Revision narrativa, no sistematica: no reporta estrategia de busqueda ni criterios de seleccion PRISMA para los estudios incluidos en el pooling (solo la formula estadistica de agregacion, Apendice, Ecs.3-4) -- limita la trazabilidad de que estudios primarios sustentan cada media/SD agrupada; no tratar los valores pooled como equivalentes en rigor a una medicion primaria directa como Simon 2010. Fragmento con OCR degradado en las columnas Vd/CL especificas de hidrocortisona en Tabla I -- no citar esos valores concretos sin verificar contra el articulo original si se necesitan. Resuelta inconsistencia previa: J38/K38 estaban en conflicto (Incluido vs. Motivo_Exclusion=E3); confirmado por la autora (25/08/2026) como errata de fila -- Motivo_Exclusion vaciado y Cumple_Inclusion=Si.</t>
  </si>
  <si>
    <t>M. Khayyat M, Munshi RM, Alabduallah B, Lamoudan T, Ghith E, Kim T-h, et al. (2024)</t>
  </si>
  <si>
    <t>An improved biometric stress monitoring
solution for working employees using heart
rate variability data and Capsule Network
model</t>
  </si>
  <si>
    <t>Motivo de exclusion: estudio de clasificación ML sin ninguna dimensión de latencia/HPA/interpretabilidad/farmacocinética. Riesgo alto de fuga de datos (C6=0): split train-test 85/15 y 5-fold cross-validation sin ninguna agrupación por sujeto declarada (no LOSO, no GroupKFold); accuracy anómalamente alta (99.82% binaria en WESAD) frente a benchmarks típicos con LOSO estricto (80-95%), consistente con contaminación train-test a nivel de ventana temporal dentro de sujeto. Inconsistencias numéricas internas graves: los valores de accuracy reportados en la Sección 5 (Conclusión: 91.65%/95.65%/95.88%/98.70%) no coinciden con los del Abstract y Tablas 3-5 (92.76%/96.76%/98.52%/99.82%), ni con la Tabla 7 comparativa (96.76% SWELL/99.52% WESAD) — tres conjuntos de cifras distintas para los mismos cuatro experimentos en el mismo artículo. Sección de limitaciones prometida en la introducción pero no materializada de forma sustantiva en la conclusión; no se discute el riesgo de fuga ni la validez de constructo de las etiquetas de estrés. Ground truth puramente conductual/protocolar sin validación endocrina. Sin ningún mecanismo de interpretabilidad pese a aplicación propuesta para monitorización laboral continua con potencial impacto en decisiones de gestión de personal</t>
  </si>
  <si>
    <t>Leproult, Copinschi, Buxton &amp; Van Cauter (1997)</t>
  </si>
  <si>
    <t>Sleep Loss Results in an Elevation of Cortisol Levels the Next Evening</t>
  </si>
  <si>
    <t>Sleep, 20(10), 865-870</t>
  </si>
  <si>
    <t>10.1093/sleep/20.10.865</t>
  </si>
  <si>
    <t>Estudio experimental (privacion de sueno parcial/total) sobre perfil nocturno/diurno de cortisol en hombres jovenes sanos</t>
  </si>
  <si>
    <t>Estudio experimental controlado (n=33 hombres jovenes sanos, 3 grupos: sueno normal / privacion parcial / privacion total, periodo continuo de 32h con muestreo de cortisol plasmatico cada 20 min) que demuestra que la privacion de sueno -- incluso parcial -- retrasa la recuperacion del eje HPA tras la elevacion circadiana matutina, produciendo cortisol vespertino elevado (+37% a +45%) 12-24h despues, sin que la privacion de sueno actue como 'estresor' agudo directo sobre el eje. Relevante para el TFM como evidencia de que Demand_circadian(t) no es un ritmo fijo e inmune a perturbaciones conductuales: el sueno (o su ausencia) puede desplazar la fase de recuperacion del eje HPA, una fuente de varianza no capturada por la forma funcional Dual Cosines fija actualmente implementada.</t>
  </si>
  <si>
    <t>Muestra reconstruida por conveniencia: los grupos de sueno normal (n=9) y privacion total (n=17) proceden de 'datos basales obtenidos en el curso de estudios sobre regulacion de glucosa o efectos de cambio de fase de luz' (no disenados originalmente para esta comparacion) -- dato mencionado en Metodos sin discutirse como limitacion en la Discusion; grupos de tamano desigual sin justificacion de potencia estadistica (C10 puntuado parcial por esta razon). No incluye ninguna medida autonomica/HRV (C3, C4 = N/A: no hay proxy wearable en este estudio, es cortisol plasmatico medido directamente, no inferido). Farmacocinetica no aplica (cortisol endogeno, no hidrocortisona exogena administrada). Nota de clasificacion: este estudio no mide HRV en absoluto, por lo que su encaje en RQ4 (diada HRV-cortisol) es limitado -- su relevancia real es para el eje circadiano/Demand_circadian(t); se mantiene en RQ4 a la espera de que la autora decida si crear una subcategoria o reclasificarlo, ya que la RQ adicional propuesta para este cluster fue descartada el 25/08/2026.</t>
  </si>
  <si>
    <t>Revision conceptual sobre mediadores del estres y carga alostatica</t>
  </si>
  <si>
    <t> Tsigos, C., &amp; Chrousos, G. P. (2002)</t>
  </si>
  <si>
    <t>Hypothalamic–pituitary–adrenal axis, neuroendocrine factors and stress</t>
  </si>
  <si>
    <t>Journal of Psychosomatic Research, 53(4), 865-871</t>
  </si>
  <si>
    <t>10.1016/S0022-3999(02)00429-4</t>
  </si>
  <si>
    <t>Revision sobre el eje HPA, factores neuroendocrinos y estres</t>
  </si>
  <si>
    <t>Revision mecanistica de referencia sobre la fisiologia del eje HPA: describe la interaccion reciproca entre el sistema CRH/AVP hipotalamico y el sistema LC/NE (noradrenergico central), ambos coactivados y regulandose mutuamente (Fig. 1) -- este es el mecanismo de coactivacion central compartido que sostiene por que la HR (marcador del sistema simpatico) puede usarse como proxy indirecto de la activacion del eje HPA, sin ser una medida directa de este. La Tabla 1 (estados de hiper/hipoactivacion cronica del eje HPA) es directamente citable para anclar clinicamente por que la insuficiencia suprarrenal (hipocortisolismo) requiere ajuste de cobertura durante episodios de estres psicologico.</t>
  </si>
  <si>
    <t>Es una revision fisiologica pura sin muestra, protocolo empirico, modelo de ML ni parametros farmacocineticos de hidrocortisona -- 9 de los 12 criterios se puntuan N/A por diseno del articulo (no por deficiencia); solo C3, C4 y C8 son parcial o minimamente aplicables. C3 puntuado parcial (1) porque describe la coactivacion CRH/LC-NE pero no cuantifica el desfase temporal segundos-vs-minutos entre respuesta simpatica y respuesta de cortisol que el criterio pide explicitamente. Ya identificada en la memoria del proyecto como ancla fisiologica junto con Gunnar &amp; Quevedo 2007 (ID36 de la hoja) -- es coherente que ambas referencias muestren puntuaciones bajas dado que ninguna es un estudio de diada HRV-cortisol; la diferencia entre ambas (8 puntos Gunnar &amp; Quevedo vs. 1 punto aqui) se explica porque Gunnar &amp; Quevedo puntua C7 (aporta una cifra cuantitativa citable, el tiempo hasta pico de cortisol post-estresor de ~25 min), mientras que Tsigos &amp; Chrousos no aporta ninguna cifra cuantitativa de ese tipo -- ambas puntuaciones bajas son coherentes con su naturaleza de revision fisiologica, no un artefacto de inconsistencia de criterio.</t>
  </si>
  <si>
    <t>Dickerson, S.S., &amp; Kemeny, M.E. (2004)</t>
  </si>
  <si>
    <t>Acute Stressors and Cortisol Responses: A Theoretical Integration and Synthesis of Laboratory Research.</t>
  </si>
  <si>
    <t>Psychological Bulletin, 130(3), 355-391</t>
  </si>
  <si>
    <t>PsycINFO / PubMed</t>
  </si>
  <si>
    <t>10.1037/0033-2909.130.3.355</t>
  </si>
  <si>
    <t>Revision teorica y sintesis de investigacion de laboratorio sobre estresores agudos y respuestas de cortisol</t>
  </si>
  <si>
    <t>Meta-analisis formal (no solo revision narrativa) de 208 estudios de laboratorio (6153 participantes) sobre estresores psicologicos agudos y respuesta de cortisol, con modelado jerarquico multinivel. Hallazgo central: el cortisol NO responde de forma inespecifica a cualquier estresor (refuta directamente el modelo de Selye) -- solo las tareas con amenaza social-evaluativa y/o incontrolabilidad elicitan una respuesta significativa, con el mayor efecto (d=0.92) cuando ambos elementos coexisten. Establece empiricamente que el pico de cortisol ocurre 21-40 min tras el inicio del estresor y que la recuperacion a linea base tarda 40-60 min tras su finalizacion (mas de 60 min si hay amenaza social-evaluativa e incontrolabilidad combinadas) -- esta cinetica temporal es directamente relevante para contrastar la ventana de persistencia de 25 min usada en f(StressLoad(t)) del TFM: la ventana actual del proyecto cae dentro de la fase de subida del cortisol segun esta evidencia, no cubre el pico ni la fase de recuperacion completa aqui documentados.</t>
  </si>
  <si>
    <t>Limitado a estresores de laboratorio de corta duracion (menos de 1h de duracion); los propios autores reconocen explicitamente que se desconoce si estos hallazgos generalizan a estresores naturalisticos de mayor duracion -- relevante porque el TFM trabaja con datos de vida libre (free-living), no de laboratorio. No mide HRV ni ningun biosignal wearable (C4 puntuado parcial, no completo): su distincion observado/latente es entre 'tipo de estresor psicologico' y cortisol medido directamente, no entre 'HR wearable' y 'Demand(t)' como en el TFM. Los autores realizan analisis de sesgo de publicacion y de robustez frente a la contribucion desproporcionada de un unico laboratorio (Kirschbaum-Hellhammer, coautor de 19 de los 208 estudios incluidos) -- buena practica de transparencia metodologica, citable como referencia de rigor para la propia revision bibliografica del TFM (C6 no aplica en sentido estricto de ML/data leakage, pero el paralelismo metodologico es senalable). Es la referencia con mayor puntuacion de calidad de este lote de seis (11/24), coherente con ser el unico meta-analisis cuantitativo formal (frente a revisiones narrativas) entre los estudios completados en esta sesion.</t>
  </si>
  <si>
    <t>Flujo de seleccion de estudios (tipo PRISMA)</t>
  </si>
  <si>
    <t>Etapa</t>
  </si>
  <si>
    <t>Descripcion</t>
  </si>
  <si>
    <t>N.º de registros</t>
  </si>
  <si>
    <t>Notas</t>
  </si>
  <si>
    <t>Identificacion</t>
  </si>
  <si>
    <t>Registros identificados en bases de datos (PubMed, Scopus, IEEE Xplore, Web of Science, etc.)</t>
  </si>
  <si>
    <t>Registros identificados por otras fuentes (referencias cruzadas, guias clinicas)</t>
  </si>
  <si>
    <t>Cribado</t>
  </si>
  <si>
    <t>Registros tras eliminar duplicados (E1)</t>
  </si>
  <si>
    <t>Registros excluidos por titulo/abstract (formato, idioma, fecha)</t>
  </si>
  <si>
    <t>Elegibilidad</t>
  </si>
  <si>
    <t>Articulos a texto completo evaluados para elegibilidad</t>
  </si>
  <si>
    <t>Articulos excluidos tras lectura completa, con motivo (E2-E6)</t>
  </si>
  <si>
    <t>Inclusion</t>
  </si>
  <si>
    <t>Estudios incluidos en la sintesis cualitativa final</t>
  </si>
  <si>
    <t>Estudios incluidos, por eje (Fisiologico/PK vs. Tecnico)</t>
  </si>
  <si>
    <t>Conteo por RQ (rellenar segun Extraccion_Estudios)</t>
  </si>
  <si>
    <t>RQ</t>
  </si>
  <si>
    <t>N. estudios incluidos</t>
  </si>
  <si>
    <t>N. estudios excluidos</t>
  </si>
  <si>
    <t>Codigo</t>
  </si>
  <si>
    <t>Pregunta</t>
  </si>
  <si>
    <t>SPIDER / PICO</t>
  </si>
  <si>
    <t>TEMA/EXPLICACION</t>
  </si>
  <si>
    <t>¿Qué relación fisiológica documentada existe entre marcadores autonómicos periféricos (HR, HRV, temperatura) y la activación del eje HPA, y qué limitaciones tiene su uso como proxy indirecto de demanda glucocorticoide?</t>
  </si>
  <si>
    <t>S: Estudios de fisiología del eje hipotálamo-hipófiso-adrenal (HPA)
PI: Relación entre marcadores autonómicos periféricos (HR, HRV, temperatura) y activación del eje HPA
D: Estudios fisiológicos y de neuroendocrinología
E: Fuerza y limitaciones de la asociación
R: Revisión narrativa/fisiológica</t>
  </si>
  <si>
    <t>Inferencia fisiologica
Datasets</t>
  </si>
  <si>
    <t>¿Qué algoritmos de machine learning interpretable se han utilizado en fisiología computacional para inferir variables latentes hormonales o metabólicas a partir de proxies biosensóricos autonómicos?</t>
  </si>
  <si>
    <t>S (Sample): Modelos computacionales y datasets proxy de estrés fisiológico e inmunológico (ej. WESAD, SWELL-KW, datasets de estrés térmico/ejercicio).  
PI (Phenomenon of Interest): Traslación de la carga autonómica/fisiológica ($\text{StressLoad}$) hacia un constructo ordinal/continuo de demanda de cortisol ($\text{Demand}(t)$).
D (Design): Modelos de inferencia inductiva, normalización circadiana individualizada (baselines) y mapeo mediante Machine Learning interpretable (Random Forest / XGBoost).  
E (Evaluation): Coherencia endocrina teórica y capacidad de respuesta frente a eventos estresores.
R (Research type): Cuantitativo / Computacional.</t>
  </si>
  <si>
    <t>Diseño Metodológico / Inferencia Fisiológica</t>
  </si>
  <si>
    <t>¿Cuál es el margen de error y la sensibilidad teórica de los modelos farmacocinéticos monocompartimentales simplificados frente a la variabilidad inter e intraindividual en la absorción de hidrocortisona oral descrita en guías clínicas y literatura farmacológica?</t>
  </si>
  <si>
    <t>P (Población): Pacientes adultos con insuficiencia suprarrenal en tratamiento sustitutivo con hidrocortisona oral.  
I (Intervención): Modelos farmacocinéticos (PK) monocompartimentales simplificados basados en dosis, tiempo de ingesta y curvas de absorción/eliminación.  
C (Comparación): Modelos multicompartimentales complejos o asunciones de concentración plasmática constante/estática.
O (Outcome): Grado de aproximación a las curvas reales de disponibilidad de cortisol plasmático y viabilidad de ejecución en tiempo real.</t>
  </si>
  <si>
    <t>Farmacometría y Modelado Matemático</t>
  </si>
  <si>
    <t>¿Qué métricas de evaluación se han utilizado en la literatura para valorar la robustez frente al ruido de algoritmos que calculan desfases dinámicos entre curvas temporales en sistemas de soporte a la decisión biomédica?</t>
  </si>
  <si>
    <t xml:space="preserve">P (Población): Pacientes sintéticos o perfiles simulados de insuficiencia suprarrenal bajo variadas demandas estresantes y esquemas de medicación (incluyendo retrasos o dosis omitidas).  
I (Intervención): Algoritmos de fusión temporal de bioseñales y PK ($\text{Risk}(t) = \text{Demand}(t) - \text{Coverage}(t)$) operando como un Contextual Decision Support System.  
C (Comparación): Reglas rígidas por umbral estático de tiempo o alertas basadas únicamente en el horario de toma.
O (Outcome): Sensibilidad en la detección de desfases críticos (subcobertura en momentos de alta carga) y minimización de falsas alarmas debidas al ruido sensórico. </t>
  </si>
  <si>
    <t>Decisión Algorítmica y Lógica Biomédica</t>
  </si>
  <si>
    <t>¿Qué estrategias de validación funcional mediante escenarios sintéticos se consideran metodológicamente aceptables para sistemas de soporte a la decisión biomédica cuando no se dispone de datos reales de pacientes, y qué limitaciones de validez externa conllevan?</t>
  </si>
  <si>
    <t>S: Sistemas de soporte a la decisión validados mediante escenarios sintéticos/simulados
PI: Estrategias de validación funcional sin datos reales de pacientes
D: Estudios de simulación, validación in-silico
E: Robustez, sensibilidad y límites de validez de la validación sintética
R: Metodológica</t>
  </si>
  <si>
    <t>Validación funcional</t>
  </si>
  <si>
    <t>Autor(es) y Año</t>
  </si>
  <si>
    <t>Título</t>
  </si>
  <si>
    <t>Dónde se usa en la memoria</t>
  </si>
  <si>
    <t>Chakraborty, A., Krzyzanski, W., &amp; Jusko, W. J. (1999)</t>
  </si>
  <si>
    <t>Mathematical modeling of circadian cortisol concentrations using indirect response models: Comparison of several methods</t>
  </si>
  <si>
    <t>Journal of Pharmacokinetics and Biopharmaceutics, 27(1), 23-43</t>
  </si>
  <si>
    <t>10.1023/A:1020678628317</t>
  </si>
  <si>
    <t>Demand_circadian(t): forma funcional Dual Cosines adoptada (Ecs. 12-14), unica de las comparadas que reproduce pico/nadir reales y garantiza no-negatividad por construccion (Seccion 6.0).</t>
  </si>
  <si>
    <t>Referencia matematica que sostiene la forma funcional central de Demand(t); no estaba registrada en ninguna de las dos hojas de extraccion pese a ser una de las decisiones cerradas mas tempranas del proyecto (v6). Anadida en v4.</t>
  </si>
  <si>
    <t>Chan, S., &amp; Debono, M. (2010)</t>
  </si>
  <si>
    <t>Replication of cortisol circadian rhythm: new advances in hydrocortisone replacement therapy</t>
  </si>
  <si>
    <t>Therapeutic Advances in Endocrinology and Metabolism, 1(3), 129-138</t>
  </si>
  <si>
    <t>10.1177/2042018810380214</t>
  </si>
  <si>
    <t>Demand_circadian(t): fuente de la magnitud diaria (9.5-9.9 mg/dia) y del patron clinico de sobre-supresion matutina reproducido en la comprobacion de sensatez del TFM (Seccion 6).</t>
  </si>
  <si>
    <t>Confirmada con texto completo (PDF aportado por la autora, 24/08/2026). Coincide exactamente con lo ya citado en Evolucion v11, Seccion 10. Anadida en v4.</t>
  </si>
  <si>
    <t>Kirschbaum, C., Pirke, K.-M., &amp; Hellhammer, D. H. (1993)</t>
  </si>
  <si>
    <t>The 'Trier Social Stress Test' - A Tool for Investigating Psychobiological Stress Responses in a Laboratory Setting</t>
  </si>
  <si>
    <t>Neuropsychobiology, 28(1-2), 76-81</t>
  </si>
  <si>
    <t>10.1159/000119004</t>
  </si>
  <si>
    <t>D_ref (Seccion 6.1): incremento absoluto de cortisol salival en TSST (5.3-8.2 nmol/L) -&gt; 0.43-0.70 mg/h (punto medio 0.57 mg/h). Justifica por que la severidad del TSST es la escala correcta, dado que StressLoad(t) se entrena sobre el mismo protocolo (WESAD).</t>
  </si>
  <si>
    <t>PRIORIDAD MAXIMA de esta actualizacion: es probablemente la referencia mas importante de toda la metodologia del TFM, y el propio Evolucion v11 senala explicitamente que faltaba registrarla en esta hoja ('Pendiente: confirmar que esta registrado...', Seccion 10). Anadida en v4.</t>
  </si>
  <si>
    <t>Politis, D. N., &amp; Romano, J. P. (1994)</t>
  </si>
  <si>
    <t>The Stationary Bootstrap</t>
  </si>
  <si>
    <t>Journal of the American Statistical Association, 89(428), 1303-1313</t>
  </si>
  <si>
    <t>10.1080/01621459.1994.10476870</t>
  </si>
  <si>
    <t>Bootstrap estacionario adoptado para generar el fondo de baseline sintetico en la validacion de escenarios (Seccion 8.3.3): bloques de longitud aleatoria que preservan autocorrelacion de corto plazo.</t>
  </si>
  <si>
    <t>Cita de estadistica general, no biomedica: la mayoria de los 12 criterios de calidad de esta hoja (disenados para el dominio fisiologico/wearable) no aplican y se puntuan N/A. Se anade el valor de Eje 'Metodologico/Estadistico' (nuevo, ver lista de validacion actualizada) porque forzarlo dentro de 'Tecnico (Wearables/ML)' seria impreciso. Antecedente Politis &amp; Romano (1992, circular block-resampling) mencionado solo como origen conceptual del diseno, no registrado como fila independiente (asi lo indica ya Evolucion v11, Seccion 10). Anadida en v4.</t>
  </si>
  <si>
    <t>Baseline circadiano n-of-1 (Seccion 6.2): ajuste cosinor con ruido AR(1)/Ornstein-Uhlenbeck via MCMC. Tambien origen de la limitacion de aplicabilidad en tiempo real (ventana centrada = metodo retrospectivo).</t>
  </si>
  <si>
    <t>B. Bent, B. Goldstein, W. A. Kibbe, J. P. Dunn (2021)</t>
  </si>
  <si>
    <t>Investigating sources of inaccuracy in wearable optical heart rate sensors</t>
  </si>
  <si>
    <t>Nature Digital Medicine (Vol. 3, Art. 18)</t>
  </si>
  <si>
    <t>https://doi.org/10.1038/s41746-020-0226-6</t>
  </si>
  <si>
    <t>Fundamenta la necesidad de robustez frente a ruido en StressLoad(t): evidencia de que la señal PPG/HR de wearables se degrada con el movimiento y el tipo de piel, justificando el tratamiento de las bioseñales como proxies ruidosos antes de la inferencia.</t>
  </si>
  <si>
    <t>Puntuacion de calidad (confirmada por la autora, 25/08/2026): C1=2, C2=2, C3=1, C4=2, C5=1, C6=2, C7=0, C8=2, C9=1, C10=2, C11=0, C12=2 (Puntuacion_Total=17). Analiza la degradacion de la señal PPG/HR en wearables bajo ruido y movimiento. Evalua la precision de sensores PPG comerciales frente al ECG en diversas condiciones de movimiento y tipos de piel en 53 participantes. Demuestra que el error del pulso optico aumenta drasticamente con la actividad fisica y varia segun el tono de piel, aportando algoritmos de correccion explicativos. Aporta evidencia critica para justificar por que las bioseñales de wearables deben filtrarse y tratarse como proxies ruidosos antes de inferir StressLoad(t).</t>
  </si>
  <si>
    <t>Marco normativo de dosificacion / Coverage(t): produccion fisiologica de cortisol, vida media de hidrocortisona y reglas de ajuste de dosis en situaciones de estres (excepcion G1-exc). Uso paralelo al de Hahner 2010 y NICE NG243 en RQ4/RQ10.</t>
  </si>
  <si>
    <t>Puntuacion de calidad confirmada por la autora (25/08/2026) - este es el contenido que originalmente aparecia, por error, en la fila de Bent et al. 2021: C1=0, C2=2, C3=2, C4=2, C5=0, C6=0, C7=2, C8=2, C9=2, C10=2, C11=1, C12=0 (Puntuacion_Total=15). Hallazgo_Clave: Es la guia de referencia mundial de la Endocrine Society para la insuficiencia suprarrenal. Define las tasas de produccion fisiologica de cortisol (5-8 mg/m2/dia), la vida media plasmatica de la hidrocortisona (~90 minutos) y las pautas de ajuste de dosis ante factores de estres fisico (triplicar/duplicar dosis orales o administracion parenteral). Nota de calidad: obtiene 0 en C1, C5, C6 y C12 por ser una guia clinica consensus-based/GRADE y no un estudio de analisis de bioseñales o IA; su inclusion es indispensable segun el criterio G1-exc.</t>
  </si>
  <si>
    <t>McEwen, B. S. (1998)</t>
  </si>
  <si>
    <t>Protective and Damaging Effects of Stress Mediators</t>
  </si>
  <si>
    <t>The New England Journal of Medicine, 338(3), 171-179</t>
  </si>
  <si>
    <t>10.1056/NEJM199801153380307</t>
  </si>
  <si>
    <t>Articulo fundacional del concepto de carga alostatica (allostatic load): define 4 patrones de desregulacion del eje SNA-HPA que generan dano acumulativo (estres repetido, falta de adaptacion, respuesta prolongada sin apagado, respuesta compensatoria inadecuada de otros mediadores cuando falla uno). Describe el mecanismo celular de coactivacion catecolaminas-glucocorticoides (Fig. 2) que sostiene por que HR puede usarse como proxy indirecto de activacion del eje. Marco conceptual citable para motivar por que la desalineacion cronica Demand-Coverage importa clinicamente mas alla del episodio agudo.</t>
  </si>
  <si>
    <t>Sin seccion de limitaciones formal por ser formato Seminars/Discussion (no articulo empirico) -- la mayoria de criterios se puntuan N/A por diseno del articulo. C8 actualizado a 2 por tratamiento explicito y cuantificado de variabilidad interindividual (cifra del 10% de sujetos que no habituan la respuesta de cortisol a hablar en publico; discusion de diferencias por sexo en la seccion de preguntas).</t>
  </si>
  <si>
    <t>Marco normativo de dosificacion / Coverage(t): produccion fisiologica de cortisol, vida media de hidrocortisona y reglas de ajuste de dosis en situaciones de estres (excepcion G1-exc). Uso paralelo al de Hahner 2010 y Bornstein et al.(2016)</t>
  </si>
  <si>
    <t>Bateman, H. (1908)</t>
  </si>
  <si>
    <t>The solution of a system of differential equations occurring in the theory of radio-active transformations</t>
  </si>
  <si>
    <t>Proceedings of the Cambridge Philosophical Society, 15, 423–427</t>
  </si>
  <si>
    <t>No tiene DOI (publicación pre-DOI); referenciable vía Cambridge Core si necesitas URL</t>
  </si>
  <si>
    <t>memoriaCoverage(t) (Sección 7 / 3.1.2 marco teórico): origen matemático de la ecuación de Bateman que describe la cinética de un compartimento con absorción y eliminación de primer orden</t>
  </si>
  <si>
    <t>Comunicación original (matemática aplicada a desintegración radiactiva); su aplicación a farmacocinética es posterior — ver Macheras, Symillides &amp; Reppas (1992), ID 31, quien la traslada al contexto PK. Texto completo no verificado directamente por la autora; cita histórica de fórmula, no fuente de datos empíricos.</t>
  </si>
  <si>
    <t>Mavroudis, Kosmidis &amp; Macheras (2019)</t>
  </si>
  <si>
    <t>On the unphysical hypotheses in pharmacokinetics and oral drug absorption: Time to utilize instantaneous rate coefficients instead of rate constants.</t>
  </si>
  <si>
    <t>European Journal of Pharmaceutical Sciences, 130, 137–146</t>
  </si>
  <si>
    <t>Tudor-Locke, C., Aguiar, E. J., Han, H., Ducharme, S. W., Schuna, J. M., Barreira, T. V., Moore, C. C., Busa, M. A., Lim, J., Sirard, J. R., Chipkin, S. R., &amp; Staudenmayer, J. (2019)</t>
  </si>
  <si>
    <t>Walking cadence (steps/min) and intensity in 21–40 year olds: CADENCE-adults</t>
  </si>
  <si>
    <t>International Journal of Behavioral Nutrition and Physical Activity, 16(1), 8.</t>
  </si>
  <si>
    <t>Sección 5.2.8: justifica por contraste el umbral conservador de la puerta binaria de actividad (~5 pasos/min vs. ≥100 pasos/min estándar de intensidad moderada)</t>
  </si>
  <si>
    <t>10.1186/s12966-019-0769-6</t>
  </si>
  <si>
    <t>Referencia mas citada del capitulo n-of-1 ; no tenia fila propia en la hoja canonica pese a sostener el metodo de ajuste cerrado en v11 (MCMC, reparametrizacion C1/C2). Anadida en v4.
También fuente de la magnitud de ruido de sensor (σ≈15 bpm) usada en el análisis de robustez Monte Carlo de la validación de escenarios sintéticos (Sección 8.3.6 / §5.6.6): 'a measurement error of roughly ±15 bpm and a correlated error process on the timescale of approximately 1 h'. Nota: en el TFM solo se replica la magnitud del error independiente (σ=15 bpm), no la componente correlacionada de ~1h que el propio paper describe — simplificación declarada explícitamente en el texto."</t>
  </si>
  <si>
    <t>Lobo, M. A., Moeyaert, M., Cunha, A. B., &amp; Babik, I. (2017)</t>
  </si>
  <si>
    <t>Single-Case Design, Analysis, and Quality Assessment for Intervention Research</t>
  </si>
  <si>
    <t>Journal of Neurologic Physical Therapy, 41(3), 187-197</t>
  </si>
  <si>
    <t>10.1097/NPT.0000000000000187 (acceso abierto, PMC: PMC5492992)</t>
  </si>
  <si>
    <t>5.7.1 (Diseño del caso n-of-1): fundamenta la distinción entre "single-case (experimental) study" (con manipulación de la variable independiente) y "case study/case series" (observación repetida sin manipulación) — el caso n-of-1 del TFM encaja en esta segunda categoría, reforzada por medición cuantitativa continua.</t>
  </si>
  <si>
    <t>Verificada y leída íntegramente (acceso abierto). Sustituye a Kazdin (2021), que no era accesible para la autora. Cambia el argumento de 5.7.1: ya no se presenta el caso como una "adaptación dentro de la familia SCED", sino como un case study/case series reforzado, explícitamente distinguido de un SCED por la ausencia de manipulación — distinción que la propia fuente traza. Añadida el 05/09/2026.</t>
  </si>
  <si>
    <t>Breiman, L. (2001)</t>
  </si>
  <si>
    <t>Random Forests</t>
  </si>
  <si>
    <t>Machine Learning, 45(1), 5–32</t>
  </si>
  <si>
    <t>10.1023/A:1010933404324</t>
  </si>
  <si>
    <t>Apartado 3.1.5 (Machine Learning, RF, LOSO): definición metodológica de Random Forest (bagging + aleatorización de variables) como base del clasificador de StressLoad(t)</t>
  </si>
  <si>
    <t>Referencia canónica y fundacional del algoritmo, no ligada a ninguna RQ específica del Estado del arte — registrada aquí en paralelo a Politis &amp; Romano (1994) y Bateman (1908), que son también citas metodológicas de base sin fila propia en Extraccion_Estudios</t>
  </si>
  <si>
    <t>Saeb, S., Lonini, L., Jayaraman, A., Mohr, D. C., &amp; Kording, K. P. (2017)</t>
  </si>
  <si>
    <t>The need to approximate the use-case in clinical machine learning</t>
  </si>
  <si>
    <t>GigaScience, 6(5), gix019</t>
  </si>
  <si>
    <t>10.1093/gigascience/gix019</t>
  </si>
  <si>
    <t>Apartado 3.1.5 (Machine Learning, RF, LOSO): justifica la validación Leave-One-Subject-Out frente a validación cruzada convencional, evitando fuga de información a nivel sujeto</t>
  </si>
  <si>
    <t>Evidencia empírica y de simulación de que la CV a nivel de registro (record-wise) sobreestima sistemáticamente el rendimiento en datasets fisiológicos multisujeto — sostiene directamente el esquema LOSO adoptado para StressLoad(t) (Apartado 5.2.2)</t>
  </si>
  <si>
    <t>Rudin, C. (2019)</t>
  </si>
  <si>
    <t>Stop explaining black box machine learning models for high stakes decisions and use interpretable models instead</t>
  </si>
  <si>
    <t>Nature Machine Intelligence, 1(5), 206–215</t>
  </si>
  <si>
    <t>10.1038/s42256-019-0048-x</t>
  </si>
  <si>
    <t>Apartado 3.1.5 (Machine Learning, RF, LOSO): justifica la preferencia por modelos interpretables (Random Forest) frente a arquitecturas de deep learning para StressLoad(t) en un contexto de decisión biomédica</t>
  </si>
  <si>
    <t>Argumento de diseño (interpretabilidad desde el origen, no explicabilidad post-hoc de una caja negra) aplicado a la elección de arquitectura de ML de este TFM, no evidencia empírica de un dominio de aplicación concreto</t>
  </si>
  <si>
    <t>Marco teórico §3.1.2 y Metodología §5.4: atribución de la aplicación de la ecuación de Bateman a farmacocinética, junto a Bateman (1908).</t>
  </si>
  <si>
    <t>Verificado solo p.1231 de 3. Se cita únicamente por esta atribución matemática, no como evidencia de RQ10. El hallazgo adicional sobre flip-flop kinetics/criterio de Bialer, potencialmente presente en pp.1231-1233, queda descartado del uso en esta memoria por decisión de la autora (05/09/2026).</t>
  </si>
  <si>
    <t>"No aporta evidencia directa a RQ10 — reclasificado como cita metodológica en Referencias_Metodologicas"</t>
  </si>
  <si>
    <t>Giannakakis, G., Grigoriadis, D., Giannakaki, K., Simantiraki, O., Roniotis, A., &amp; Tsiknakis, M. (2022)</t>
  </si>
  <si>
    <t>PLOS ONE, 19(12), e0310776</t>
  </si>
  <si>
    <t>10.1371/journal.pone.0310776</t>
  </si>
  <si>
    <t>Ratner, A., De Sa, C., Wu, S., Selsam, D., &amp; Ré, C. (2016)</t>
  </si>
  <si>
    <t>Data Programming: Creating Large Training Sets, Quickly</t>
  </si>
  <si>
    <t>Advances in Neural Information Processing Systems (NeurIPS), 29</t>
  </si>
  <si>
    <t>https://arxiv.org/abs/1605.07723</t>
  </si>
  <si>
    <t>Apartado 3.1.4 y 3.2.2</t>
  </si>
  <si>
    <t>Estudio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</si>
</sst>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4" x14ac:knownFonts="1">
    <font>
      <sz val="11"/>
      <color theme="1"/>
      <name val="Calibri"/>
      <family val="2"/>
      <charset val="1"/>
    </font>
    <font>
      <u/>
      <sz val="11"/>
      <color theme="10"/>
      <name val="Calibri"/>
      <family val="2"/>
      <charset val="1"/>
    </font>
    <font>
      <b/>
      <sz val="14"/>
      <color rgb="FF1F4E5F"/>
      <name val="Arial"/>
      <charset val="1"/>
    </font>
    <font>
      <i/>
      <sz val="10"/>
      <color rgb="FF666666"/>
      <name val="Arial"/>
      <charset val="1"/>
    </font>
    <font>
      <b/>
      <sz val="11"/>
      <color rgb="FF1F4E5F"/>
      <name val="Arial"/>
      <charset val="1"/>
    </font>
    <font>
      <sz val="10"/>
      <name val="Arial"/>
      <charset val="1"/>
    </font>
    <font>
      <b/>
      <sz val="10"/>
      <name val="Arial"/>
      <charset val="1"/>
    </font>
    <font>
      <b/>
      <sz val="10"/>
      <color rgb="FFFFFFFF"/>
      <name val="Arial"/>
      <charset val="1"/>
    </font>
    <font>
      <i/>
      <sz val="9"/>
      <color rgb="FF666666"/>
      <name val="Arial"/>
      <charset val="1"/>
    </font>
    <font>
      <b/>
      <sz val="11"/>
      <name val="Cambria"/>
      <charset val="1"/>
    </font>
    <font>
      <sz val="10"/>
      <name val="Arial"/>
      <family val="2"/>
      <charset val="1"/>
    </font>
    <font>
      <sz val="10"/>
      <name val="Arial"/>
      <family val="2"/>
    </font>
    <font>
      <b/>
      <sz val="13"/>
      <color rgb="FF1F4E5F"/>
      <name val="Arial"/>
      <charset val="1"/>
    </font>
    <font>
      <b/>
      <sz val="11"/>
      <color theme="1"/>
      <name val="Calibri"/>
      <family val="2"/>
      <charset val="1"/>
    </font>
  </fonts>
  <fills count="6">
    <fill>
      <patternFill patternType="none"/>
    </fill>
    <fill>
      <patternFill patternType="gray125"/>
    </fill>
    <fill>
      <patternFill patternType="solid">
        <fgColor rgb="FF1F4E5F"/>
        <bgColor rgb="FF333333"/>
      </patternFill>
    </fill>
    <fill>
      <patternFill patternType="solid">
        <fgColor rgb="FFFFF3CD"/>
        <bgColor rgb="FFFFF2CC"/>
      </patternFill>
    </fill>
    <fill>
      <patternFill patternType="solid">
        <fgColor rgb="FFFFF2CC"/>
        <bgColor rgb="FFFFF3CD"/>
      </patternFill>
    </fill>
    <fill>
      <patternFill patternType="solid">
        <fgColor rgb="FFD9D2E9"/>
        <bgColor rgb="FFF4CCCC"/>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1" fillId="0" borderId="0" applyNumberFormat="0" applyFill="0" applyBorder="0" applyAlignment="0" applyProtection="0"/>
  </cellStyleXfs>
  <cellXfs count="35">
    <xf numFmtId="0" fontId="0" fillId="0" borderId="0" xfId="0"/>
    <xf numFmtId="0" fontId="0" fillId="0" borderId="0" xfId="0" applyAlignment="1"/>
    <xf numFmtId="164" fontId="0" fillId="0" borderId="0" xfId="0" applyNumberFormat="1" applyAlignment="1"/>
    <xf numFmtId="0" fontId="4" fillId="0" borderId="0" xfId="0" applyFont="1" applyAlignment="1"/>
    <xf numFmtId="0" fontId="6" fillId="0" borderId="0" xfId="0" applyFont="1" applyAlignment="1"/>
    <xf numFmtId="0" fontId="7" fillId="2" borderId="1" xfId="0" applyFont="1" applyFill="1" applyBorder="1" applyAlignment="1">
      <alignment horizontal="center" vertical="center" wrapText="1"/>
    </xf>
    <xf numFmtId="0" fontId="5" fillId="0" borderId="0" xfId="0" applyFont="1" applyAlignment="1">
      <alignment vertical="top" wrapText="1"/>
    </xf>
    <xf numFmtId="0" fontId="2" fillId="0" borderId="0" xfId="0" applyFont="1" applyAlignment="1"/>
    <xf numFmtId="0" fontId="5" fillId="0" borderId="1" xfId="0" applyFont="1" applyBorder="1" applyAlignment="1">
      <alignment vertical="top" wrapText="1"/>
    </xf>
    <xf numFmtId="0" fontId="5" fillId="4" borderId="1" xfId="0" applyFont="1" applyFill="1" applyBorder="1" applyAlignment="1">
      <alignment vertical="top" wrapText="1"/>
    </xf>
    <xf numFmtId="0" fontId="10" fillId="0" borderId="1" xfId="0" applyFont="1" applyBorder="1" applyAlignment="1">
      <alignment vertical="top" wrapText="1"/>
    </xf>
    <xf numFmtId="0" fontId="5" fillId="3" borderId="1" xfId="0" applyFont="1" applyFill="1" applyBorder="1" applyAlignment="1">
      <alignment vertical="top" wrapText="1"/>
    </xf>
    <xf numFmtId="0" fontId="10" fillId="3" borderId="1" xfId="0" applyFont="1" applyFill="1" applyBorder="1" applyAlignment="1">
      <alignment vertical="top" wrapText="1"/>
    </xf>
    <xf numFmtId="0" fontId="10" fillId="4" borderId="1" xfId="0" applyFont="1" applyFill="1" applyBorder="1" applyAlignment="1">
      <alignment vertical="top" wrapText="1"/>
    </xf>
    <xf numFmtId="0" fontId="7" fillId="2" borderId="1" xfId="0" applyFont="1" applyFill="1" applyBorder="1" applyAlignment="1">
      <alignment horizontal="center" wrapText="1"/>
    </xf>
    <xf numFmtId="0" fontId="5" fillId="0" borderId="1" xfId="0" applyFont="1" applyBorder="1" applyAlignment="1"/>
    <xf numFmtId="0" fontId="13" fillId="0" borderId="2" xfId="0" applyFont="1" applyBorder="1" applyAlignment="1"/>
    <xf numFmtId="0" fontId="0" fillId="0" borderId="2" xfId="0" applyFont="1" applyBorder="1" applyAlignment="1"/>
    <xf numFmtId="0" fontId="0" fillId="0" borderId="2" xfId="0" applyFont="1" applyBorder="1" applyAlignment="1">
      <alignment horizontal="left" vertical="center"/>
    </xf>
    <xf numFmtId="0" fontId="0" fillId="0" borderId="2" xfId="0" applyFont="1" applyBorder="1" applyAlignment="1">
      <alignment horizontal="left" vertical="center" wrapText="1"/>
    </xf>
    <xf numFmtId="0" fontId="0" fillId="0" borderId="0" xfId="0" applyAlignment="1">
      <alignment vertical="top" wrapText="1"/>
    </xf>
    <xf numFmtId="0" fontId="5" fillId="0" borderId="1" xfId="0" applyFont="1" applyFill="1" applyBorder="1" applyAlignment="1">
      <alignment vertical="top" wrapText="1"/>
    </xf>
    <xf numFmtId="0" fontId="9" fillId="5" borderId="2" xfId="0" applyFont="1" applyFill="1" applyBorder="1" applyAlignment="1"/>
    <xf numFmtId="0" fontId="0" fillId="0" borderId="2" xfId="0" applyBorder="1" applyAlignment="1">
      <alignment vertical="top" wrapText="1"/>
    </xf>
    <xf numFmtId="0" fontId="1" fillId="0" borderId="2" xfId="2" applyBorder="1" applyAlignment="1">
      <alignment vertical="top" wrapText="1"/>
    </xf>
    <xf numFmtId="0" fontId="0" fillId="0" borderId="2" xfId="0" applyBorder="1"/>
    <xf numFmtId="0" fontId="0" fillId="0" borderId="2" xfId="0" applyBorder="1" applyAlignment="1"/>
    <xf numFmtId="0" fontId="0" fillId="0" borderId="2" xfId="0" applyBorder="1" applyAlignment="1">
      <alignment vertical="center" wrapText="1"/>
    </xf>
    <xf numFmtId="0" fontId="5" fillId="0" borderId="2" xfId="0" applyFont="1" applyBorder="1" applyAlignment="1">
      <alignment vertical="top" wrapText="1"/>
    </xf>
    <xf numFmtId="0" fontId="5" fillId="0" borderId="0" xfId="0" applyFont="1" applyBorder="1" applyAlignment="1"/>
    <xf numFmtId="0" fontId="8" fillId="0" borderId="0" xfId="0" applyFont="1" applyBorder="1" applyAlignment="1">
      <alignment vertical="top" wrapText="1"/>
    </xf>
    <xf numFmtId="0" fontId="5" fillId="0" borderId="0" xfId="0" applyFont="1" applyBorder="1" applyAlignment="1">
      <alignment vertical="top" wrapText="1"/>
    </xf>
    <xf numFmtId="0" fontId="2" fillId="0" borderId="0" xfId="0" applyFont="1" applyBorder="1" applyAlignment="1"/>
    <xf numFmtId="0" fontId="3" fillId="0" borderId="0" xfId="0" applyFont="1" applyBorder="1" applyAlignment="1"/>
    <xf numFmtId="0" fontId="12" fillId="0" borderId="0" xfId="0" applyFont="1" applyBorder="1" applyAlignment="1"/>
  </cellXfs>
  <cellStyles count="3">
    <cellStyle name="Hipervínculo" xfId="2" builtinId="8"/>
    <cellStyle name="Hyperlink 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3CD"/>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D9EAD3"/>
      <rgbColor rgb="FFFFF2CC"/>
      <rgbColor rgb="FF99CCFF"/>
      <rgbColor rgb="FFFF99CC"/>
      <rgbColor rgb="FFCC99FF"/>
      <rgbColor rgb="FFF4CCCC"/>
      <rgbColor rgb="FF3366FF"/>
      <rgbColor rgb="FF33CCCC"/>
      <rgbColor rgb="FF92D050"/>
      <rgbColor rgb="FFFFC000"/>
      <rgbColor rgb="FFFF9900"/>
      <rgbColor rgb="FFFF6600"/>
      <rgbColor rgb="FF666666"/>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oi.org/10.1088/2057-1976/ae4c93?urlappend=%3Futm_source%3Dresearchgate.net%26utm_medium%3Darticle" TargetMode="External"/><Relationship Id="rId1" Type="http://schemas.openxmlformats.org/officeDocument/2006/relationships/hyperlink" Target="https://www.researchgate.net/journal/Biomedical-Physics-Engineering-Express-2057-1976?_tp=eyJjb250ZXh0Ijp7ImZpcnN0UGFnZSI6InB1YmxpY2F0aW9uIiwicGFnZSI6InB1YmxpY2F0aW9uIiwicG9zaXRpb24iOiJwYWdlSGVhZGVyIn19"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ice.org.uk/guidance/ng2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showGridLines="0" zoomScaleNormal="100" workbookViewId="0">
      <selection activeCell="B53" sqref="B53"/>
    </sheetView>
  </sheetViews>
  <sheetFormatPr baseColWidth="10" defaultColWidth="8.69140625" defaultRowHeight="14.6" x14ac:dyDescent="0.4"/>
  <cols>
    <col min="1" max="1" width="8" style="1" customWidth="1"/>
    <col min="2" max="2" width="30" style="1" customWidth="1"/>
    <col min="3" max="4" width="34" style="1" customWidth="1"/>
    <col min="5" max="6" width="10" style="1" customWidth="1"/>
    <col min="8" max="8" width="11.4609375" style="1" customWidth="1"/>
  </cols>
  <sheetData>
    <row r="1" spans="1:8" ht="17.25" customHeight="1" x14ac:dyDescent="0.4">
      <c r="A1" s="32" t="s">
        <v>0</v>
      </c>
      <c r="B1" s="32"/>
      <c r="C1" s="32"/>
      <c r="D1" s="32"/>
      <c r="F1" s="1" t="s">
        <v>1</v>
      </c>
      <c r="H1" s="2">
        <v>46258</v>
      </c>
    </row>
    <row r="2" spans="1:8" ht="15" customHeight="1" x14ac:dyDescent="0.4">
      <c r="A2" s="33" t="s">
        <v>2</v>
      </c>
      <c r="B2" s="33"/>
      <c r="C2" s="33"/>
      <c r="D2" s="33"/>
    </row>
    <row r="4" spans="1:8" ht="15" customHeight="1" x14ac:dyDescent="0.4">
      <c r="A4" s="3" t="s">
        <v>3</v>
      </c>
    </row>
    <row r="5" spans="1:8" ht="15" customHeight="1" x14ac:dyDescent="0.4">
      <c r="A5" s="29" t="s">
        <v>4</v>
      </c>
      <c r="B5" s="29"/>
      <c r="C5" s="29"/>
      <c r="D5" s="29"/>
      <c r="E5" s="29"/>
      <c r="F5" s="29"/>
    </row>
    <row r="6" spans="1:8" ht="15" customHeight="1" x14ac:dyDescent="0.4">
      <c r="A6" s="29" t="s">
        <v>5</v>
      </c>
      <c r="B6" s="29"/>
      <c r="C6" s="29"/>
      <c r="D6" s="29"/>
      <c r="E6" s="29"/>
      <c r="F6" s="29"/>
    </row>
    <row r="7" spans="1:8" ht="15" customHeight="1" x14ac:dyDescent="0.4">
      <c r="A7" s="29" t="s">
        <v>6</v>
      </c>
      <c r="B7" s="29"/>
      <c r="C7" s="29"/>
      <c r="D7" s="29"/>
      <c r="E7" s="29"/>
      <c r="F7" s="29"/>
    </row>
    <row r="8" spans="1:8" ht="15" customHeight="1" x14ac:dyDescent="0.4">
      <c r="A8" s="29" t="s">
        <v>7</v>
      </c>
      <c r="B8" s="29"/>
      <c r="C8" s="29"/>
      <c r="D8" s="29"/>
      <c r="E8" s="29"/>
      <c r="F8" s="29"/>
    </row>
    <row r="9" spans="1:8" ht="15" customHeight="1" x14ac:dyDescent="0.4">
      <c r="A9" s="29" t="s">
        <v>8</v>
      </c>
      <c r="B9" s="29"/>
      <c r="C9" s="29"/>
      <c r="D9" s="29"/>
      <c r="E9" s="29"/>
      <c r="F9" s="29"/>
    </row>
    <row r="10" spans="1:8" ht="15" customHeight="1" x14ac:dyDescent="0.4">
      <c r="A10" s="29" t="s">
        <v>9</v>
      </c>
      <c r="B10" s="29"/>
      <c r="C10" s="29"/>
      <c r="D10" s="29"/>
      <c r="E10" s="29"/>
      <c r="F10" s="29"/>
    </row>
    <row r="11" spans="1:8" ht="15" customHeight="1" x14ac:dyDescent="0.4">
      <c r="A11" s="29" t="s">
        <v>10</v>
      </c>
      <c r="B11" s="29"/>
      <c r="C11" s="29"/>
      <c r="D11" s="29"/>
      <c r="E11" s="29"/>
      <c r="F11" s="29"/>
    </row>
    <row r="13" spans="1:8" ht="15" customHeight="1" x14ac:dyDescent="0.4">
      <c r="A13" s="3" t="s">
        <v>11</v>
      </c>
    </row>
    <row r="14" spans="1:8" ht="15" customHeight="1" x14ac:dyDescent="0.4">
      <c r="A14" s="4" t="s">
        <v>12</v>
      </c>
      <c r="B14" s="29" t="s">
        <v>13</v>
      </c>
      <c r="C14" s="29"/>
      <c r="D14" s="29"/>
      <c r="E14" s="29"/>
      <c r="F14" s="29"/>
    </row>
    <row r="15" spans="1:8" ht="15" customHeight="1" x14ac:dyDescent="0.4">
      <c r="A15" s="4" t="s">
        <v>14</v>
      </c>
      <c r="B15" s="29" t="s">
        <v>15</v>
      </c>
      <c r="C15" s="29"/>
      <c r="D15" s="29"/>
      <c r="E15" s="29"/>
      <c r="F15" s="29"/>
    </row>
    <row r="16" spans="1:8" ht="15" customHeight="1" x14ac:dyDescent="0.4">
      <c r="A16" s="4" t="s">
        <v>16</v>
      </c>
      <c r="B16" s="29" t="s">
        <v>17</v>
      </c>
      <c r="C16" s="29"/>
      <c r="D16" s="29"/>
      <c r="E16" s="29"/>
      <c r="F16" s="29"/>
    </row>
    <row r="18" spans="1:6" ht="15" customHeight="1" x14ac:dyDescent="0.4">
      <c r="A18" s="3" t="s">
        <v>18</v>
      </c>
    </row>
    <row r="19" spans="1:6" ht="18" customHeight="1" x14ac:dyDescent="0.4">
      <c r="A19" s="5" t="s">
        <v>19</v>
      </c>
      <c r="B19" s="5" t="s">
        <v>20</v>
      </c>
      <c r="C19" s="5" t="s">
        <v>21</v>
      </c>
      <c r="D19" s="5" t="s">
        <v>22</v>
      </c>
    </row>
    <row r="20" spans="1:6" ht="45.75" customHeight="1" x14ac:dyDescent="0.4">
      <c r="A20" s="4" t="s">
        <v>23</v>
      </c>
      <c r="B20" s="6" t="s">
        <v>24</v>
      </c>
      <c r="C20" s="6" t="s">
        <v>25</v>
      </c>
      <c r="D20" s="31" t="s">
        <v>26</v>
      </c>
      <c r="E20" s="31"/>
      <c r="F20" s="31"/>
    </row>
    <row r="21" spans="1:6" ht="45.75" customHeight="1" x14ac:dyDescent="0.4">
      <c r="A21" s="4" t="s">
        <v>27</v>
      </c>
      <c r="B21" s="6" t="s">
        <v>28</v>
      </c>
      <c r="C21" s="6" t="s">
        <v>29</v>
      </c>
      <c r="D21" s="31" t="s">
        <v>30</v>
      </c>
      <c r="E21" s="31"/>
      <c r="F21" s="31"/>
    </row>
    <row r="22" spans="1:6" ht="45.75" customHeight="1" x14ac:dyDescent="0.4">
      <c r="A22" s="4" t="s">
        <v>31</v>
      </c>
      <c r="B22" s="6" t="s">
        <v>32</v>
      </c>
      <c r="C22" s="6" t="s">
        <v>33</v>
      </c>
      <c r="D22" s="31" t="s">
        <v>34</v>
      </c>
      <c r="E22" s="31"/>
      <c r="F22" s="31"/>
    </row>
    <row r="23" spans="1:6" ht="45.75" customHeight="1" x14ac:dyDescent="0.4">
      <c r="A23" s="4" t="s">
        <v>35</v>
      </c>
      <c r="B23" s="6" t="s">
        <v>36</v>
      </c>
      <c r="C23" s="6" t="s">
        <v>37</v>
      </c>
      <c r="D23" s="31" t="s">
        <v>38</v>
      </c>
      <c r="E23" s="31"/>
      <c r="F23" s="31"/>
    </row>
    <row r="24" spans="1:6" ht="45.75" customHeight="1" x14ac:dyDescent="0.4">
      <c r="A24" s="4" t="s">
        <v>39</v>
      </c>
      <c r="B24" s="6" t="s">
        <v>40</v>
      </c>
      <c r="C24" s="6" t="s">
        <v>41</v>
      </c>
      <c r="D24" s="31" t="s">
        <v>42</v>
      </c>
      <c r="E24" s="31"/>
      <c r="F24" s="31"/>
    </row>
    <row r="25" spans="1:6" ht="45.75" customHeight="1" x14ac:dyDescent="0.4">
      <c r="A25" s="4" t="s">
        <v>43</v>
      </c>
      <c r="B25" s="6" t="s">
        <v>44</v>
      </c>
      <c r="C25" s="6" t="s">
        <v>45</v>
      </c>
      <c r="D25" s="31" t="s">
        <v>46</v>
      </c>
      <c r="E25" s="31"/>
      <c r="F25" s="31"/>
    </row>
    <row r="26" spans="1:6" ht="45.75" customHeight="1" x14ac:dyDescent="0.4">
      <c r="A26" s="4" t="s">
        <v>47</v>
      </c>
      <c r="B26" s="6" t="s">
        <v>48</v>
      </c>
      <c r="C26" s="6" t="s">
        <v>49</v>
      </c>
      <c r="D26" s="31" t="s">
        <v>50</v>
      </c>
      <c r="E26" s="31"/>
      <c r="F26" s="31"/>
    </row>
    <row r="27" spans="1:6" ht="45.75" customHeight="1" x14ac:dyDescent="0.4">
      <c r="A27" s="4" t="s">
        <v>51</v>
      </c>
      <c r="B27" s="6" t="s">
        <v>52</v>
      </c>
      <c r="C27" s="6" t="s">
        <v>53</v>
      </c>
      <c r="D27" s="31" t="s">
        <v>54</v>
      </c>
      <c r="E27" s="31"/>
      <c r="F27" s="31"/>
    </row>
    <row r="28" spans="1:6" ht="45.75" customHeight="1" x14ac:dyDescent="0.4">
      <c r="A28" s="4" t="s">
        <v>55</v>
      </c>
      <c r="B28" s="6" t="s">
        <v>56</v>
      </c>
      <c r="C28" s="6" t="s">
        <v>57</v>
      </c>
      <c r="D28" s="31" t="s">
        <v>58</v>
      </c>
      <c r="E28" s="31"/>
      <c r="F28" s="31"/>
    </row>
    <row r="29" spans="1:6" ht="45.75" customHeight="1" x14ac:dyDescent="0.4">
      <c r="A29" s="4" t="s">
        <v>59</v>
      </c>
      <c r="B29" s="6" t="s">
        <v>60</v>
      </c>
      <c r="C29" s="6" t="s">
        <v>61</v>
      </c>
      <c r="D29" s="31" t="s">
        <v>62</v>
      </c>
      <c r="E29" s="31"/>
      <c r="F29" s="31"/>
    </row>
    <row r="30" spans="1:6" ht="45.75" customHeight="1" x14ac:dyDescent="0.4">
      <c r="A30" s="4" t="s">
        <v>63</v>
      </c>
      <c r="B30" s="6" t="s">
        <v>64</v>
      </c>
      <c r="C30" s="6" t="s">
        <v>65</v>
      </c>
      <c r="D30" s="31" t="s">
        <v>66</v>
      </c>
      <c r="E30" s="31"/>
      <c r="F30" s="31"/>
    </row>
    <row r="31" spans="1:6" ht="45.75" customHeight="1" x14ac:dyDescent="0.4">
      <c r="A31" s="4" t="s">
        <v>67</v>
      </c>
      <c r="B31" s="6" t="s">
        <v>68</v>
      </c>
      <c r="C31" s="6" t="s">
        <v>69</v>
      </c>
      <c r="D31" s="31" t="s">
        <v>70</v>
      </c>
      <c r="E31" s="31"/>
      <c r="F31" s="31"/>
    </row>
    <row r="33" spans="1:6" ht="15" customHeight="1" x14ac:dyDescent="0.4">
      <c r="A33" s="3" t="s">
        <v>71</v>
      </c>
    </row>
    <row r="34" spans="1:6" ht="15" customHeight="1" x14ac:dyDescent="0.4">
      <c r="A34" s="5" t="s">
        <v>19</v>
      </c>
      <c r="B34" s="5" t="s">
        <v>72</v>
      </c>
    </row>
    <row r="35" spans="1:6" ht="15" customHeight="1" x14ac:dyDescent="0.4">
      <c r="A35" s="4" t="s">
        <v>73</v>
      </c>
      <c r="B35" s="29" t="s">
        <v>74</v>
      </c>
      <c r="C35" s="29"/>
      <c r="D35" s="29"/>
      <c r="E35" s="29"/>
      <c r="F35" s="29"/>
    </row>
    <row r="36" spans="1:6" ht="15" customHeight="1" x14ac:dyDescent="0.4">
      <c r="A36" s="4" t="s">
        <v>75</v>
      </c>
      <c r="B36" s="29" t="s">
        <v>76</v>
      </c>
      <c r="C36" s="29"/>
      <c r="D36" s="29"/>
      <c r="E36" s="29"/>
      <c r="F36" s="29"/>
    </row>
    <row r="37" spans="1:6" ht="15" customHeight="1" x14ac:dyDescent="0.4">
      <c r="A37" s="4" t="s">
        <v>77</v>
      </c>
      <c r="B37" s="29" t="s">
        <v>78</v>
      </c>
      <c r="C37" s="29"/>
      <c r="D37" s="29"/>
      <c r="E37" s="29"/>
      <c r="F37" s="29"/>
    </row>
    <row r="38" spans="1:6" ht="15" customHeight="1" x14ac:dyDescent="0.4">
      <c r="A38" s="4" t="s">
        <v>79</v>
      </c>
      <c r="B38" s="29" t="s">
        <v>80</v>
      </c>
      <c r="C38" s="29"/>
      <c r="D38" s="29"/>
      <c r="E38" s="29"/>
      <c r="F38" s="29"/>
    </row>
    <row r="39" spans="1:6" ht="15" customHeight="1" x14ac:dyDescent="0.4">
      <c r="A39" s="4" t="s">
        <v>81</v>
      </c>
      <c r="B39" s="29" t="s">
        <v>82</v>
      </c>
      <c r="C39" s="29"/>
      <c r="D39" s="29"/>
      <c r="E39" s="29"/>
      <c r="F39" s="29"/>
    </row>
    <row r="40" spans="1:6" ht="15" customHeight="1" x14ac:dyDescent="0.4">
      <c r="A40" s="4" t="s">
        <v>83</v>
      </c>
      <c r="B40" s="29" t="s">
        <v>84</v>
      </c>
      <c r="C40" s="29"/>
      <c r="D40" s="29"/>
      <c r="E40" s="29"/>
      <c r="F40" s="29"/>
    </row>
    <row r="41" spans="1:6" ht="15" customHeight="1" x14ac:dyDescent="0.4">
      <c r="A41" s="4" t="s">
        <v>85</v>
      </c>
      <c r="B41" s="29" t="s">
        <v>86</v>
      </c>
      <c r="C41" s="29"/>
      <c r="D41" s="29"/>
      <c r="E41" s="29"/>
      <c r="F41" s="29"/>
    </row>
    <row r="44" spans="1:6" ht="15" customHeight="1" x14ac:dyDescent="0.4">
      <c r="A44" s="3" t="s">
        <v>87</v>
      </c>
    </row>
    <row r="45" spans="1:6" ht="60" customHeight="1" x14ac:dyDescent="0.4">
      <c r="A45" s="30" t="s">
        <v>88</v>
      </c>
      <c r="B45" s="30"/>
      <c r="C45" s="30"/>
      <c r="D45" s="30"/>
      <c r="E45" s="30"/>
      <c r="F45" s="30"/>
    </row>
    <row r="47" spans="1:6" ht="17.25" customHeight="1" x14ac:dyDescent="0.4">
      <c r="A47" s="7"/>
    </row>
    <row r="48" spans="1:6" ht="14.25" customHeight="1" x14ac:dyDescent="0.4">
      <c r="A48" s="3"/>
    </row>
    <row r="49" spans="1:1" ht="14.25" customHeight="1" x14ac:dyDescent="0.4">
      <c r="A49" s="3"/>
    </row>
    <row r="50" spans="1:1" ht="14.25" customHeight="1" x14ac:dyDescent="0.4">
      <c r="A50" s="3"/>
    </row>
    <row r="51" spans="1:1" ht="14.25" customHeight="1" x14ac:dyDescent="0.4">
      <c r="A51" s="3"/>
    </row>
    <row r="52" spans="1:1" ht="14.25" customHeight="1" x14ac:dyDescent="0.4">
      <c r="A52" s="3"/>
    </row>
    <row r="53" spans="1:1" ht="14.25" customHeight="1" x14ac:dyDescent="0.4">
      <c r="A53" s="3"/>
    </row>
    <row r="54" spans="1:1" ht="14.25" customHeight="1" x14ac:dyDescent="0.4">
      <c r="A54" s="3"/>
    </row>
    <row r="56" spans="1:1" ht="14.25" customHeight="1" x14ac:dyDescent="0.4"/>
    <row r="57" spans="1:1" ht="14.25" customHeight="1" x14ac:dyDescent="0.4"/>
    <row r="58" spans="1:1" ht="14.25" customHeight="1" x14ac:dyDescent="0.4"/>
    <row r="59" spans="1:1" ht="14.25" customHeight="1" x14ac:dyDescent="0.4"/>
    <row r="60" spans="1:1" ht="14.25" customHeight="1" x14ac:dyDescent="0.4"/>
    <row r="61" spans="1:1" ht="14.25" customHeight="1" x14ac:dyDescent="0.4"/>
  </sheetData>
  <mergeCells count="32">
    <mergeCell ref="A1:D1"/>
    <mergeCell ref="A2:D2"/>
    <mergeCell ref="A5:F5"/>
    <mergeCell ref="A6:F6"/>
    <mergeCell ref="A7:F7"/>
    <mergeCell ref="A8:F8"/>
    <mergeCell ref="A9:F9"/>
    <mergeCell ref="A10:F10"/>
    <mergeCell ref="A11:F11"/>
    <mergeCell ref="B14:F14"/>
    <mergeCell ref="B15:F15"/>
    <mergeCell ref="B16:F16"/>
    <mergeCell ref="D20:F20"/>
    <mergeCell ref="D21:F21"/>
    <mergeCell ref="D22:F22"/>
    <mergeCell ref="D23:F23"/>
    <mergeCell ref="D24:F24"/>
    <mergeCell ref="D25:F25"/>
    <mergeCell ref="D26:F26"/>
    <mergeCell ref="D27:F27"/>
    <mergeCell ref="D28:F28"/>
    <mergeCell ref="D29:F29"/>
    <mergeCell ref="D30:F30"/>
    <mergeCell ref="D31:F31"/>
    <mergeCell ref="B35:F35"/>
    <mergeCell ref="B41:F41"/>
    <mergeCell ref="A45:F45"/>
    <mergeCell ref="B36:F36"/>
    <mergeCell ref="B37:F37"/>
    <mergeCell ref="B38:F38"/>
    <mergeCell ref="B39:F39"/>
    <mergeCell ref="B40:F4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58"/>
  <sheetViews>
    <sheetView showGridLines="0" tabSelected="1" zoomScale="130" zoomScaleNormal="130" workbookViewId="0">
      <pane xSplit="2" ySplit="1" topLeftCell="C2" activePane="bottomRight" state="frozen"/>
      <selection pane="topRight" activeCell="C1" sqref="C1"/>
      <selection pane="bottomLeft" activeCell="A2" sqref="A2"/>
      <selection pane="bottomRight" activeCell="I47" sqref="I47"/>
    </sheetView>
  </sheetViews>
  <sheetFormatPr baseColWidth="10" defaultColWidth="8.69140625" defaultRowHeight="14.6" x14ac:dyDescent="0.4"/>
  <cols>
    <col min="1" max="1" width="6" style="1" customWidth="1"/>
    <col min="2" max="2" width="12" style="1" customWidth="1"/>
    <col min="3" max="3" width="18" style="1" customWidth="1"/>
    <col min="4" max="4" width="30" style="1" customWidth="1"/>
    <col min="5" max="5" width="20" style="1" customWidth="1"/>
    <col min="6" max="6" width="14" style="1" customWidth="1"/>
    <col min="7" max="7" width="22" style="1" customWidth="1"/>
    <col min="8" max="8" width="16" style="1" customWidth="1"/>
    <col min="9" max="10" width="14" style="1" customWidth="1"/>
    <col min="11" max="11" width="16" style="1" customWidth="1"/>
    <col min="13" max="13" width="7.61328125" style="1" customWidth="1"/>
    <col min="14" max="25" width="11" style="1" customWidth="1"/>
    <col min="26" max="26" width="6.23046875" style="1" customWidth="1"/>
    <col min="27" max="28" width="34" style="1" customWidth="1"/>
  </cols>
  <sheetData>
    <row r="1" spans="1:28" ht="33.75" customHeight="1" x14ac:dyDescent="0.4">
      <c r="A1" s="5" t="s">
        <v>89</v>
      </c>
      <c r="B1" s="5" t="s">
        <v>90</v>
      </c>
      <c r="C1" s="5" t="s">
        <v>91</v>
      </c>
      <c r="D1" s="5" t="s">
        <v>92</v>
      </c>
      <c r="E1" s="5" t="s">
        <v>93</v>
      </c>
      <c r="F1" s="5" t="s">
        <v>94</v>
      </c>
      <c r="G1" s="5" t="s">
        <v>95</v>
      </c>
      <c r="H1" s="5" t="s">
        <v>96</v>
      </c>
      <c r="I1" s="5" t="s">
        <v>97</v>
      </c>
      <c r="J1" s="5" t="s">
        <v>98</v>
      </c>
      <c r="K1" s="5" t="s">
        <v>99</v>
      </c>
      <c r="L1" s="5" t="s">
        <v>100</v>
      </c>
      <c r="M1" s="5" t="s">
        <v>101</v>
      </c>
      <c r="N1" s="5" t="s">
        <v>102</v>
      </c>
      <c r="O1" s="5" t="s">
        <v>103</v>
      </c>
      <c r="P1" s="5" t="s">
        <v>104</v>
      </c>
      <c r="Q1" s="5" t="s">
        <v>105</v>
      </c>
      <c r="R1" s="5" t="s">
        <v>106</v>
      </c>
      <c r="S1" s="5" t="s">
        <v>107</v>
      </c>
      <c r="T1" s="5" t="s">
        <v>108</v>
      </c>
      <c r="U1" s="5" t="s">
        <v>109</v>
      </c>
      <c r="V1" s="5" t="s">
        <v>110</v>
      </c>
      <c r="W1" s="5" t="s">
        <v>111</v>
      </c>
      <c r="X1" s="5" t="s">
        <v>112</v>
      </c>
      <c r="Y1" s="5" t="s">
        <v>113</v>
      </c>
      <c r="Z1" s="5" t="s">
        <v>114</v>
      </c>
      <c r="AA1" s="5" t="s">
        <v>115</v>
      </c>
      <c r="AB1" s="5" t="s">
        <v>116</v>
      </c>
    </row>
    <row r="2" spans="1:28" ht="15" customHeight="1" x14ac:dyDescent="0.4">
      <c r="A2" s="21">
        <v>11</v>
      </c>
      <c r="B2" s="8" t="s">
        <v>117</v>
      </c>
      <c r="C2" s="8" t="s">
        <v>118</v>
      </c>
      <c r="D2" s="8" t="s">
        <v>119</v>
      </c>
      <c r="E2" s="8" t="s">
        <v>120</v>
      </c>
      <c r="F2" s="8" t="s">
        <v>121</v>
      </c>
      <c r="G2" s="8" t="s">
        <v>122</v>
      </c>
      <c r="H2" s="8" t="s">
        <v>123</v>
      </c>
      <c r="I2" s="9" t="s">
        <v>124</v>
      </c>
      <c r="J2" s="9" t="s">
        <v>125</v>
      </c>
      <c r="K2" s="9"/>
      <c r="L2" s="8" t="s">
        <v>126</v>
      </c>
      <c r="M2" s="8" t="s">
        <v>124</v>
      </c>
      <c r="N2" s="9">
        <v>2</v>
      </c>
      <c r="O2" s="9">
        <v>2</v>
      </c>
      <c r="P2" s="9" t="s">
        <v>127</v>
      </c>
      <c r="Q2" s="9" t="s">
        <v>127</v>
      </c>
      <c r="R2" s="9" t="s">
        <v>127</v>
      </c>
      <c r="S2" s="9" t="s">
        <v>127</v>
      </c>
      <c r="T2" s="9">
        <v>2</v>
      </c>
      <c r="U2" s="9">
        <v>2</v>
      </c>
      <c r="V2" s="9" t="s">
        <v>127</v>
      </c>
      <c r="W2" s="9">
        <v>2</v>
      </c>
      <c r="X2" s="9" t="s">
        <v>127</v>
      </c>
      <c r="Y2" s="9">
        <v>2</v>
      </c>
      <c r="Z2" s="8">
        <f t="shared" ref="Z2:Z45" si="0">SUM(N2:Y2)</f>
        <v>12</v>
      </c>
      <c r="AA2" s="8" t="s">
        <v>128</v>
      </c>
      <c r="AB2" s="8" t="s">
        <v>129</v>
      </c>
    </row>
    <row r="3" spans="1:28" ht="15" customHeight="1" x14ac:dyDescent="0.4">
      <c r="A3" s="21">
        <v>12</v>
      </c>
      <c r="B3" s="8" t="s">
        <v>117</v>
      </c>
      <c r="C3" s="8" t="s">
        <v>130</v>
      </c>
      <c r="D3" s="8" t="s">
        <v>131</v>
      </c>
      <c r="E3" s="8" t="s">
        <v>132</v>
      </c>
      <c r="F3" s="8" t="s">
        <v>121</v>
      </c>
      <c r="G3" s="8" t="s">
        <v>133</v>
      </c>
      <c r="H3" s="8" t="s">
        <v>134</v>
      </c>
      <c r="I3" s="9" t="s">
        <v>124</v>
      </c>
      <c r="J3" s="9" t="s">
        <v>125</v>
      </c>
      <c r="K3" s="9"/>
      <c r="L3" s="8" t="s">
        <v>126</v>
      </c>
      <c r="M3" s="8" t="s">
        <v>124</v>
      </c>
      <c r="N3" s="9">
        <v>2</v>
      </c>
      <c r="O3" s="9">
        <v>2</v>
      </c>
      <c r="P3" s="9" t="s">
        <v>127</v>
      </c>
      <c r="Q3" s="9" t="s">
        <v>127</v>
      </c>
      <c r="R3" s="9" t="s">
        <v>127</v>
      </c>
      <c r="S3" s="9" t="s">
        <v>127</v>
      </c>
      <c r="T3" s="9">
        <v>2</v>
      </c>
      <c r="U3" s="9">
        <v>2</v>
      </c>
      <c r="V3" s="9" t="s">
        <v>127</v>
      </c>
      <c r="W3" s="9">
        <v>2</v>
      </c>
      <c r="X3" s="9" t="s">
        <v>127</v>
      </c>
      <c r="Y3" s="9">
        <v>2</v>
      </c>
      <c r="Z3" s="8">
        <f t="shared" si="0"/>
        <v>12</v>
      </c>
      <c r="AA3" s="8" t="s">
        <v>135</v>
      </c>
      <c r="AB3" s="8" t="s">
        <v>136</v>
      </c>
    </row>
    <row r="4" spans="1:28" ht="15" customHeight="1" x14ac:dyDescent="0.4">
      <c r="A4" s="21">
        <v>13</v>
      </c>
      <c r="B4" s="8" t="s">
        <v>117</v>
      </c>
      <c r="C4" s="8" t="s">
        <v>137</v>
      </c>
      <c r="D4" s="8" t="s">
        <v>138</v>
      </c>
      <c r="E4" s="8" t="s">
        <v>139</v>
      </c>
      <c r="F4" s="8" t="s">
        <v>121</v>
      </c>
      <c r="G4" s="8" t="s">
        <v>140</v>
      </c>
      <c r="H4" s="8" t="s">
        <v>141</v>
      </c>
      <c r="I4" s="9" t="s">
        <v>124</v>
      </c>
      <c r="J4" s="9" t="s">
        <v>125</v>
      </c>
      <c r="K4" s="9"/>
      <c r="L4" s="8" t="s">
        <v>126</v>
      </c>
      <c r="M4" s="8" t="s">
        <v>124</v>
      </c>
      <c r="N4" s="9">
        <v>2</v>
      </c>
      <c r="O4" s="9">
        <v>2</v>
      </c>
      <c r="P4" s="9" t="s">
        <v>127</v>
      </c>
      <c r="Q4" s="9" t="s">
        <v>127</v>
      </c>
      <c r="R4" s="9" t="s">
        <v>127</v>
      </c>
      <c r="S4" s="9" t="s">
        <v>127</v>
      </c>
      <c r="T4" s="9">
        <v>2</v>
      </c>
      <c r="U4" s="9">
        <v>2</v>
      </c>
      <c r="V4" s="9" t="s">
        <v>127</v>
      </c>
      <c r="W4" s="9">
        <v>1</v>
      </c>
      <c r="X4" s="9" t="s">
        <v>127</v>
      </c>
      <c r="Y4" s="9">
        <v>1</v>
      </c>
      <c r="Z4" s="8">
        <f t="shared" si="0"/>
        <v>10</v>
      </c>
      <c r="AA4" s="8" t="s">
        <v>142</v>
      </c>
      <c r="AB4" s="8" t="s">
        <v>143</v>
      </c>
    </row>
    <row r="5" spans="1:28" ht="15" customHeight="1" x14ac:dyDescent="0.4">
      <c r="A5" s="21">
        <v>14</v>
      </c>
      <c r="B5" s="8" t="s">
        <v>117</v>
      </c>
      <c r="C5" s="8" t="s">
        <v>144</v>
      </c>
      <c r="D5" s="10" t="s">
        <v>145</v>
      </c>
      <c r="E5" s="8" t="s">
        <v>146</v>
      </c>
      <c r="F5" s="8" t="s">
        <v>121</v>
      </c>
      <c r="G5" s="10" t="s">
        <v>147</v>
      </c>
      <c r="H5" s="8" t="s">
        <v>148</v>
      </c>
      <c r="I5" s="9" t="s">
        <v>124</v>
      </c>
      <c r="J5" s="9" t="s">
        <v>125</v>
      </c>
      <c r="K5" s="9"/>
      <c r="L5" s="8" t="s">
        <v>126</v>
      </c>
      <c r="M5" s="8" t="s">
        <v>124</v>
      </c>
      <c r="N5" s="9">
        <v>1</v>
      </c>
      <c r="O5" s="9">
        <v>2</v>
      </c>
      <c r="P5" s="9" t="s">
        <v>127</v>
      </c>
      <c r="Q5" s="9" t="s">
        <v>127</v>
      </c>
      <c r="R5" s="9" t="s">
        <v>127</v>
      </c>
      <c r="S5" s="9" t="s">
        <v>127</v>
      </c>
      <c r="T5" s="9">
        <v>2</v>
      </c>
      <c r="U5" s="9">
        <v>0</v>
      </c>
      <c r="V5" s="9" t="s">
        <v>127</v>
      </c>
      <c r="W5" s="9">
        <v>0</v>
      </c>
      <c r="X5" s="9" t="s">
        <v>127</v>
      </c>
      <c r="Y5" s="9">
        <v>0</v>
      </c>
      <c r="Z5" s="8">
        <f t="shared" si="0"/>
        <v>5</v>
      </c>
      <c r="AA5" s="8" t="s">
        <v>149</v>
      </c>
      <c r="AB5" s="8" t="s">
        <v>150</v>
      </c>
    </row>
    <row r="6" spans="1:28" ht="15" customHeight="1" x14ac:dyDescent="0.4">
      <c r="A6" s="21">
        <v>15</v>
      </c>
      <c r="B6" s="8" t="s">
        <v>117</v>
      </c>
      <c r="C6" s="8" t="s">
        <v>151</v>
      </c>
      <c r="D6" s="10" t="s">
        <v>152</v>
      </c>
      <c r="E6" s="8" t="s">
        <v>153</v>
      </c>
      <c r="F6" s="8" t="s">
        <v>121</v>
      </c>
      <c r="G6" s="8" t="s">
        <v>154</v>
      </c>
      <c r="H6" s="8" t="s">
        <v>155</v>
      </c>
      <c r="I6" s="9" t="s">
        <v>124</v>
      </c>
      <c r="J6" s="9" t="s">
        <v>156</v>
      </c>
      <c r="K6" s="9" t="s">
        <v>77</v>
      </c>
      <c r="L6" s="8" t="s">
        <v>126</v>
      </c>
      <c r="M6" s="8" t="s">
        <v>124</v>
      </c>
      <c r="N6" s="9" t="s">
        <v>127</v>
      </c>
      <c r="O6" s="9" t="s">
        <v>127</v>
      </c>
      <c r="P6" s="9" t="s">
        <v>127</v>
      </c>
      <c r="Q6" s="9" t="s">
        <v>127</v>
      </c>
      <c r="R6" s="9" t="s">
        <v>127</v>
      </c>
      <c r="S6" s="9" t="s">
        <v>127</v>
      </c>
      <c r="T6" s="9">
        <v>0</v>
      </c>
      <c r="U6" s="9">
        <v>0</v>
      </c>
      <c r="V6" s="9" t="s">
        <v>127</v>
      </c>
      <c r="W6" s="9">
        <v>2</v>
      </c>
      <c r="X6" s="9" t="s">
        <v>127</v>
      </c>
      <c r="Y6" s="9" t="s">
        <v>127</v>
      </c>
      <c r="Z6" s="8">
        <f t="shared" si="0"/>
        <v>2</v>
      </c>
      <c r="AA6" s="8" t="s">
        <v>157</v>
      </c>
      <c r="AB6" s="8" t="s">
        <v>158</v>
      </c>
    </row>
    <row r="7" spans="1:28" ht="15" customHeight="1" x14ac:dyDescent="0.4">
      <c r="A7" s="21">
        <v>30</v>
      </c>
      <c r="B7" s="8" t="s">
        <v>117</v>
      </c>
      <c r="C7" s="8" t="s">
        <v>159</v>
      </c>
      <c r="D7" s="8" t="s">
        <v>160</v>
      </c>
      <c r="E7" s="8" t="s">
        <v>161</v>
      </c>
      <c r="F7" s="8" t="s">
        <v>121</v>
      </c>
      <c r="G7" s="8" t="s">
        <v>162</v>
      </c>
      <c r="H7" s="8" t="s">
        <v>163</v>
      </c>
      <c r="I7" s="9" t="s">
        <v>124</v>
      </c>
      <c r="J7" s="9" t="s">
        <v>125</v>
      </c>
      <c r="K7" s="9"/>
      <c r="L7" s="8" t="s">
        <v>126</v>
      </c>
      <c r="M7" s="8" t="s">
        <v>124</v>
      </c>
      <c r="N7" s="9" t="s">
        <v>127</v>
      </c>
      <c r="O7" s="9" t="s">
        <v>127</v>
      </c>
      <c r="P7" s="9" t="s">
        <v>127</v>
      </c>
      <c r="Q7" s="9" t="s">
        <v>127</v>
      </c>
      <c r="R7" s="9" t="s">
        <v>127</v>
      </c>
      <c r="S7" s="9" t="s">
        <v>127</v>
      </c>
      <c r="T7" s="9">
        <v>1</v>
      </c>
      <c r="U7" s="9" t="s">
        <v>127</v>
      </c>
      <c r="V7" s="9">
        <v>1</v>
      </c>
      <c r="W7" s="9">
        <v>1</v>
      </c>
      <c r="X7" s="9" t="s">
        <v>127</v>
      </c>
      <c r="Y7" s="9" t="s">
        <v>127</v>
      </c>
      <c r="Z7" s="8">
        <f t="shared" si="0"/>
        <v>3</v>
      </c>
      <c r="AA7" s="8" t="s">
        <v>164</v>
      </c>
      <c r="AB7" s="8" t="s">
        <v>165</v>
      </c>
    </row>
    <row r="8" spans="1:28" ht="15" customHeight="1" x14ac:dyDescent="0.4">
      <c r="A8" s="21">
        <v>31</v>
      </c>
      <c r="B8" s="8" t="s">
        <v>117</v>
      </c>
      <c r="C8" s="8" t="s">
        <v>166</v>
      </c>
      <c r="D8" s="8" t="s">
        <v>167</v>
      </c>
      <c r="E8" s="8" t="s">
        <v>168</v>
      </c>
      <c r="F8" t="s">
        <v>121</v>
      </c>
      <c r="G8" s="8" t="s">
        <v>169</v>
      </c>
      <c r="H8" s="8" t="s">
        <v>170</v>
      </c>
      <c r="I8" s="9" t="s">
        <v>171</v>
      </c>
      <c r="J8" s="11" t="s">
        <v>156</v>
      </c>
      <c r="K8" s="9" t="s">
        <v>85</v>
      </c>
      <c r="L8" s="8" t="s">
        <v>126</v>
      </c>
      <c r="M8" s="9" t="s">
        <v>171</v>
      </c>
      <c r="N8" s="9"/>
      <c r="O8" s="9"/>
      <c r="P8" s="9"/>
      <c r="Q8" s="9"/>
      <c r="R8" s="9"/>
      <c r="S8" s="9"/>
      <c r="T8" s="9"/>
      <c r="U8" s="9"/>
      <c r="V8" s="9"/>
      <c r="W8" s="9"/>
      <c r="X8" s="9"/>
      <c r="Y8" s="9"/>
      <c r="Z8" s="8">
        <f t="shared" si="0"/>
        <v>0</v>
      </c>
      <c r="AA8" s="9"/>
      <c r="AB8" t="s">
        <v>558</v>
      </c>
    </row>
    <row r="9" spans="1:28" ht="15" customHeight="1" x14ac:dyDescent="0.4">
      <c r="A9" s="21">
        <v>21</v>
      </c>
      <c r="B9" s="8" t="s">
        <v>172</v>
      </c>
      <c r="C9" s="8" t="s">
        <v>173</v>
      </c>
      <c r="D9" s="10" t="s">
        <v>174</v>
      </c>
      <c r="E9" s="8" t="s">
        <v>175</v>
      </c>
      <c r="F9" s="8" t="s">
        <v>176</v>
      </c>
      <c r="G9" s="8" t="s">
        <v>177</v>
      </c>
      <c r="H9" s="8" t="s">
        <v>178</v>
      </c>
      <c r="I9" s="9" t="s">
        <v>124</v>
      </c>
      <c r="J9" s="9" t="s">
        <v>125</v>
      </c>
      <c r="K9" s="9"/>
      <c r="L9" s="8" t="s">
        <v>179</v>
      </c>
      <c r="M9" s="8" t="s">
        <v>124</v>
      </c>
      <c r="N9" s="9">
        <v>1</v>
      </c>
      <c r="O9" s="9" t="s">
        <v>127</v>
      </c>
      <c r="P9" s="9">
        <v>1</v>
      </c>
      <c r="Q9" s="9">
        <v>1</v>
      </c>
      <c r="R9" s="9">
        <v>2</v>
      </c>
      <c r="S9" s="9">
        <v>1</v>
      </c>
      <c r="T9" s="9" t="s">
        <v>127</v>
      </c>
      <c r="U9" s="9" t="s">
        <v>127</v>
      </c>
      <c r="V9" s="9">
        <v>2</v>
      </c>
      <c r="W9" s="9">
        <v>1</v>
      </c>
      <c r="X9" s="9">
        <v>2</v>
      </c>
      <c r="Y9" s="9">
        <v>2</v>
      </c>
      <c r="Z9" s="8">
        <f t="shared" si="0"/>
        <v>13</v>
      </c>
      <c r="AA9" s="8" t="s">
        <v>180</v>
      </c>
      <c r="AB9" s="8" t="s">
        <v>181</v>
      </c>
    </row>
    <row r="10" spans="1:28" ht="15" customHeight="1" x14ac:dyDescent="0.4">
      <c r="A10" s="21">
        <v>22</v>
      </c>
      <c r="B10" s="8" t="s">
        <v>172</v>
      </c>
      <c r="C10" s="8" t="s">
        <v>182</v>
      </c>
      <c r="D10" s="10" t="s">
        <v>183</v>
      </c>
      <c r="E10" s="8" t="s">
        <v>184</v>
      </c>
      <c r="F10" s="8" t="s">
        <v>185</v>
      </c>
      <c r="G10" s="8" t="s">
        <v>186</v>
      </c>
      <c r="H10" s="8" t="s">
        <v>187</v>
      </c>
      <c r="I10" s="9" t="s">
        <v>124</v>
      </c>
      <c r="J10" s="9" t="s">
        <v>125</v>
      </c>
      <c r="K10" s="9"/>
      <c r="L10" s="8" t="s">
        <v>179</v>
      </c>
      <c r="M10" s="8" t="s">
        <v>124</v>
      </c>
      <c r="N10" s="9" t="s">
        <v>127</v>
      </c>
      <c r="O10" s="9" t="s">
        <v>127</v>
      </c>
      <c r="P10" s="9">
        <v>0</v>
      </c>
      <c r="Q10" s="9">
        <v>1</v>
      </c>
      <c r="R10" s="9" t="s">
        <v>127</v>
      </c>
      <c r="S10" s="9">
        <v>1</v>
      </c>
      <c r="T10" s="9" t="s">
        <v>127</v>
      </c>
      <c r="U10" s="9" t="s">
        <v>127</v>
      </c>
      <c r="V10" s="9" t="s">
        <v>127</v>
      </c>
      <c r="W10" s="9">
        <v>1</v>
      </c>
      <c r="X10" s="9">
        <v>2</v>
      </c>
      <c r="Y10" s="9">
        <v>2</v>
      </c>
      <c r="Z10" s="8">
        <f t="shared" si="0"/>
        <v>7</v>
      </c>
      <c r="AA10" s="8" t="s">
        <v>188</v>
      </c>
      <c r="AB10" s="8" t="s">
        <v>189</v>
      </c>
    </row>
    <row r="11" spans="1:28" ht="15" customHeight="1" x14ac:dyDescent="0.4">
      <c r="A11" s="21">
        <v>23</v>
      </c>
      <c r="B11" s="8" t="s">
        <v>172</v>
      </c>
      <c r="C11" s="8" t="s">
        <v>190</v>
      </c>
      <c r="D11" s="10" t="s">
        <v>191</v>
      </c>
      <c r="E11" s="8" t="s">
        <v>192</v>
      </c>
      <c r="F11" s="8" t="s">
        <v>193</v>
      </c>
      <c r="G11" s="8" t="s">
        <v>194</v>
      </c>
      <c r="H11" s="8" t="s">
        <v>195</v>
      </c>
      <c r="I11" s="9" t="s">
        <v>124</v>
      </c>
      <c r="J11" s="9" t="s">
        <v>125</v>
      </c>
      <c r="K11" s="9"/>
      <c r="L11" s="8" t="s">
        <v>179</v>
      </c>
      <c r="M11" s="8" t="s">
        <v>124</v>
      </c>
      <c r="N11" s="9" t="s">
        <v>127</v>
      </c>
      <c r="O11" s="9" t="s">
        <v>127</v>
      </c>
      <c r="P11" s="9" t="s">
        <v>127</v>
      </c>
      <c r="Q11" s="9" t="s">
        <v>127</v>
      </c>
      <c r="R11" s="9" t="s">
        <v>127</v>
      </c>
      <c r="S11" s="9">
        <v>1</v>
      </c>
      <c r="T11" s="9" t="s">
        <v>127</v>
      </c>
      <c r="U11" s="9" t="s">
        <v>127</v>
      </c>
      <c r="V11" s="9" t="s">
        <v>127</v>
      </c>
      <c r="W11" s="9">
        <v>1</v>
      </c>
      <c r="X11" s="9">
        <v>2</v>
      </c>
      <c r="Y11" s="9">
        <v>1</v>
      </c>
      <c r="Z11" s="8">
        <f t="shared" si="0"/>
        <v>5</v>
      </c>
      <c r="AA11" s="8" t="s">
        <v>196</v>
      </c>
      <c r="AB11" s="8" t="s">
        <v>197</v>
      </c>
    </row>
    <row r="12" spans="1:28" ht="15" customHeight="1" x14ac:dyDescent="0.4">
      <c r="A12" s="21">
        <v>24</v>
      </c>
      <c r="B12" s="8" t="s">
        <v>172</v>
      </c>
      <c r="C12" s="8" t="s">
        <v>198</v>
      </c>
      <c r="D12" s="10" t="s">
        <v>199</v>
      </c>
      <c r="E12" s="8" t="s">
        <v>200</v>
      </c>
      <c r="F12" s="8" t="s">
        <v>201</v>
      </c>
      <c r="G12" s="8" t="s">
        <v>202</v>
      </c>
      <c r="H12" s="8" t="s">
        <v>203</v>
      </c>
      <c r="I12" s="9" t="s">
        <v>124</v>
      </c>
      <c r="J12" s="9" t="s">
        <v>125</v>
      </c>
      <c r="K12" s="9"/>
      <c r="L12" s="8" t="s">
        <v>179</v>
      </c>
      <c r="M12" s="8" t="s">
        <v>124</v>
      </c>
      <c r="N12" s="9" t="s">
        <v>127</v>
      </c>
      <c r="O12" s="9" t="s">
        <v>127</v>
      </c>
      <c r="P12" s="9" t="s">
        <v>127</v>
      </c>
      <c r="Q12" s="9" t="s">
        <v>127</v>
      </c>
      <c r="R12" s="9" t="s">
        <v>127</v>
      </c>
      <c r="S12" s="9">
        <v>2</v>
      </c>
      <c r="T12" s="9" t="s">
        <v>127</v>
      </c>
      <c r="U12" s="9" t="s">
        <v>127</v>
      </c>
      <c r="V12" s="9" t="s">
        <v>127</v>
      </c>
      <c r="W12" s="9">
        <v>1</v>
      </c>
      <c r="X12" s="9">
        <v>1</v>
      </c>
      <c r="Y12" s="9">
        <v>2</v>
      </c>
      <c r="Z12" s="8">
        <f t="shared" si="0"/>
        <v>6</v>
      </c>
      <c r="AA12" s="8" t="s">
        <v>204</v>
      </c>
      <c r="AB12" s="8" t="s">
        <v>205</v>
      </c>
    </row>
    <row r="13" spans="1:28" ht="15" customHeight="1" x14ac:dyDescent="0.4">
      <c r="A13" s="21">
        <v>25</v>
      </c>
      <c r="B13" s="8" t="s">
        <v>172</v>
      </c>
      <c r="C13" s="8" t="s">
        <v>206</v>
      </c>
      <c r="D13" s="10" t="s">
        <v>207</v>
      </c>
      <c r="E13" s="8" t="s">
        <v>208</v>
      </c>
      <c r="F13" s="8" t="s">
        <v>193</v>
      </c>
      <c r="G13" s="8" t="s">
        <v>209</v>
      </c>
      <c r="H13" s="8" t="s">
        <v>210</v>
      </c>
      <c r="I13" s="9" t="s">
        <v>124</v>
      </c>
      <c r="J13" s="9" t="s">
        <v>125</v>
      </c>
      <c r="K13" s="9"/>
      <c r="L13" s="8" t="s">
        <v>179</v>
      </c>
      <c r="M13" s="8" t="s">
        <v>124</v>
      </c>
      <c r="N13" s="9" t="s">
        <v>127</v>
      </c>
      <c r="O13" s="9" t="s">
        <v>127</v>
      </c>
      <c r="P13" s="9" t="s">
        <v>127</v>
      </c>
      <c r="Q13" s="9" t="s">
        <v>127</v>
      </c>
      <c r="R13" s="9" t="s">
        <v>127</v>
      </c>
      <c r="S13" s="9">
        <v>1</v>
      </c>
      <c r="T13" s="9" t="s">
        <v>127</v>
      </c>
      <c r="U13" s="9" t="s">
        <v>127</v>
      </c>
      <c r="V13" s="9" t="s">
        <v>127</v>
      </c>
      <c r="W13" s="9">
        <v>1</v>
      </c>
      <c r="X13" s="9">
        <v>1</v>
      </c>
      <c r="Y13" s="9">
        <v>1</v>
      </c>
      <c r="Z13" s="8">
        <f t="shared" si="0"/>
        <v>4</v>
      </c>
      <c r="AA13" s="8" t="s">
        <v>211</v>
      </c>
      <c r="AB13" s="8" t="s">
        <v>212</v>
      </c>
    </row>
    <row r="14" spans="1:28" ht="15" customHeight="1" x14ac:dyDescent="0.4">
      <c r="A14" s="21">
        <v>34</v>
      </c>
      <c r="B14" s="8" t="s">
        <v>117</v>
      </c>
      <c r="C14" s="8" t="s">
        <v>213</v>
      </c>
      <c r="D14" s="8" t="s">
        <v>214</v>
      </c>
      <c r="E14" s="8" t="s">
        <v>215</v>
      </c>
      <c r="F14" s="8" t="s">
        <v>121</v>
      </c>
      <c r="G14" s="8" t="s">
        <v>216</v>
      </c>
      <c r="H14" s="8" t="s">
        <v>217</v>
      </c>
      <c r="I14" s="9" t="s">
        <v>124</v>
      </c>
      <c r="J14" s="9" t="s">
        <v>125</v>
      </c>
      <c r="K14" s="9"/>
      <c r="L14" s="8" t="s">
        <v>126</v>
      </c>
      <c r="M14" s="8" t="s">
        <v>124</v>
      </c>
      <c r="N14" s="9">
        <v>2</v>
      </c>
      <c r="O14" s="9">
        <v>2</v>
      </c>
      <c r="P14" s="9">
        <v>1</v>
      </c>
      <c r="Q14" s="9">
        <v>2</v>
      </c>
      <c r="R14" s="9" t="s">
        <v>127</v>
      </c>
      <c r="S14" s="9" t="s">
        <v>127</v>
      </c>
      <c r="T14" s="9">
        <v>2</v>
      </c>
      <c r="U14" s="9">
        <v>2</v>
      </c>
      <c r="V14" s="9">
        <v>1</v>
      </c>
      <c r="W14" s="9">
        <v>2</v>
      </c>
      <c r="X14" s="9" t="s">
        <v>127</v>
      </c>
      <c r="Y14" s="9">
        <v>2</v>
      </c>
      <c r="Z14" s="8">
        <f t="shared" si="0"/>
        <v>16</v>
      </c>
      <c r="AA14" s="8" t="s">
        <v>218</v>
      </c>
      <c r="AB14" s="8" t="s">
        <v>219</v>
      </c>
    </row>
    <row r="15" spans="1:28" ht="15" customHeight="1" x14ac:dyDescent="0.4">
      <c r="A15" s="21">
        <v>36</v>
      </c>
      <c r="B15" s="8" t="s">
        <v>220</v>
      </c>
      <c r="C15" s="8" t="s">
        <v>221</v>
      </c>
      <c r="D15" s="8" t="s">
        <v>222</v>
      </c>
      <c r="E15" s="8" t="s">
        <v>223</v>
      </c>
      <c r="F15" s="8" t="s">
        <v>403</v>
      </c>
      <c r="G15" s="8" t="s">
        <v>224</v>
      </c>
      <c r="H15" s="8" t="s">
        <v>225</v>
      </c>
      <c r="I15" s="9" t="s">
        <v>124</v>
      </c>
      <c r="J15" s="9" t="s">
        <v>125</v>
      </c>
      <c r="K15" s="9"/>
      <c r="L15" s="8" t="s">
        <v>126</v>
      </c>
      <c r="M15" s="8" t="s">
        <v>124</v>
      </c>
      <c r="N15" s="9" t="s">
        <v>127</v>
      </c>
      <c r="O15" s="9" t="s">
        <v>127</v>
      </c>
      <c r="P15" s="9">
        <v>2</v>
      </c>
      <c r="Q15" s="9" t="s">
        <v>127</v>
      </c>
      <c r="R15" s="9" t="s">
        <v>127</v>
      </c>
      <c r="S15" s="9" t="s">
        <v>127</v>
      </c>
      <c r="T15" s="9">
        <v>1</v>
      </c>
      <c r="U15" s="9" t="s">
        <v>127</v>
      </c>
      <c r="V15" s="9" t="s">
        <v>127</v>
      </c>
      <c r="W15" s="9" t="s">
        <v>127</v>
      </c>
      <c r="X15" s="9" t="s">
        <v>127</v>
      </c>
      <c r="Y15" s="9" t="s">
        <v>127</v>
      </c>
      <c r="Z15" s="8">
        <f t="shared" si="0"/>
        <v>3</v>
      </c>
      <c r="AA15" s="8" t="s">
        <v>226</v>
      </c>
      <c r="AB15" s="8" t="s">
        <v>227</v>
      </c>
    </row>
    <row r="16" spans="1:28" ht="15" customHeight="1" x14ac:dyDescent="0.4">
      <c r="A16" s="21">
        <v>1</v>
      </c>
      <c r="B16" s="8" t="s">
        <v>220</v>
      </c>
      <c r="C16" s="8" t="s">
        <v>228</v>
      </c>
      <c r="D16" s="8" t="s">
        <v>229</v>
      </c>
      <c r="E16" s="8" t="s">
        <v>230</v>
      </c>
      <c r="F16" s="8" t="s">
        <v>231</v>
      </c>
      <c r="G16" s="8" t="s">
        <v>232</v>
      </c>
      <c r="H16" s="8" t="s">
        <v>233</v>
      </c>
      <c r="I16" s="9" t="s">
        <v>124</v>
      </c>
      <c r="J16" s="9" t="s">
        <v>125</v>
      </c>
      <c r="K16" s="9"/>
      <c r="L16" s="8" t="s">
        <v>126</v>
      </c>
      <c r="M16" s="8" t="s">
        <v>124</v>
      </c>
      <c r="N16" s="9">
        <v>2</v>
      </c>
      <c r="O16" s="9">
        <v>2</v>
      </c>
      <c r="P16" s="9">
        <v>2</v>
      </c>
      <c r="Q16" s="9">
        <v>2</v>
      </c>
      <c r="R16" s="9" t="s">
        <v>127</v>
      </c>
      <c r="S16" s="9" t="s">
        <v>127</v>
      </c>
      <c r="T16" s="9" t="s">
        <v>127</v>
      </c>
      <c r="U16" s="9">
        <v>1</v>
      </c>
      <c r="V16" s="9" t="s">
        <v>127</v>
      </c>
      <c r="W16" s="9">
        <v>2</v>
      </c>
      <c r="X16" s="9" t="s">
        <v>127</v>
      </c>
      <c r="Y16" s="9" t="s">
        <v>127</v>
      </c>
      <c r="Z16" s="8">
        <f t="shared" si="0"/>
        <v>11</v>
      </c>
      <c r="AA16" s="8" t="s">
        <v>234</v>
      </c>
      <c r="AB16" s="8" t="s">
        <v>235</v>
      </c>
    </row>
    <row r="17" spans="1:28" ht="15" customHeight="1" x14ac:dyDescent="0.4">
      <c r="A17" s="21">
        <v>2</v>
      </c>
      <c r="B17" s="8" t="s">
        <v>220</v>
      </c>
      <c r="C17" s="8" t="s">
        <v>236</v>
      </c>
      <c r="D17" s="8" t="s">
        <v>237</v>
      </c>
      <c r="E17" s="8" t="s">
        <v>238</v>
      </c>
      <c r="F17" s="8" t="s">
        <v>239</v>
      </c>
      <c r="G17" s="8" t="s">
        <v>240</v>
      </c>
      <c r="H17" s="8" t="s">
        <v>241</v>
      </c>
      <c r="I17" s="9" t="s">
        <v>124</v>
      </c>
      <c r="J17" s="9" t="s">
        <v>125</v>
      </c>
      <c r="K17" s="9"/>
      <c r="L17" s="8" t="s">
        <v>126</v>
      </c>
      <c r="M17" s="8" t="s">
        <v>124</v>
      </c>
      <c r="N17" s="9">
        <v>2</v>
      </c>
      <c r="O17" s="9">
        <v>2</v>
      </c>
      <c r="P17" s="9">
        <v>1</v>
      </c>
      <c r="Q17" s="9">
        <v>2</v>
      </c>
      <c r="R17" s="9" t="s">
        <v>127</v>
      </c>
      <c r="S17" s="9" t="s">
        <v>127</v>
      </c>
      <c r="T17" s="9" t="s">
        <v>127</v>
      </c>
      <c r="U17" s="9">
        <v>2</v>
      </c>
      <c r="V17" s="9" t="s">
        <v>127</v>
      </c>
      <c r="W17" s="9">
        <v>2</v>
      </c>
      <c r="X17" s="9" t="s">
        <v>127</v>
      </c>
      <c r="Y17" s="9" t="s">
        <v>127</v>
      </c>
      <c r="Z17" s="8">
        <f t="shared" si="0"/>
        <v>11</v>
      </c>
      <c r="AA17" s="8" t="s">
        <v>242</v>
      </c>
      <c r="AB17" s="8" t="s">
        <v>243</v>
      </c>
    </row>
    <row r="18" spans="1:28" ht="15" customHeight="1" x14ac:dyDescent="0.4">
      <c r="A18" s="21">
        <v>3</v>
      </c>
      <c r="B18" s="8" t="s">
        <v>220</v>
      </c>
      <c r="C18" s="8" t="s">
        <v>244</v>
      </c>
      <c r="D18" s="8" t="s">
        <v>245</v>
      </c>
      <c r="E18" s="8" t="s">
        <v>246</v>
      </c>
      <c r="F18" s="8" t="s">
        <v>247</v>
      </c>
      <c r="G18" s="8" t="s">
        <v>248</v>
      </c>
      <c r="H18" s="8" t="s">
        <v>249</v>
      </c>
      <c r="I18" s="9" t="s">
        <v>124</v>
      </c>
      <c r="J18" s="9" t="s">
        <v>125</v>
      </c>
      <c r="K18" s="9"/>
      <c r="L18" s="8" t="s">
        <v>126</v>
      </c>
      <c r="M18" s="8" t="s">
        <v>124</v>
      </c>
      <c r="N18" s="9">
        <v>2</v>
      </c>
      <c r="O18" s="9">
        <v>2</v>
      </c>
      <c r="P18" s="9">
        <v>1</v>
      </c>
      <c r="Q18" s="9">
        <v>1</v>
      </c>
      <c r="R18" s="9" t="s">
        <v>127</v>
      </c>
      <c r="S18" s="9" t="s">
        <v>127</v>
      </c>
      <c r="T18" s="9" t="s">
        <v>127</v>
      </c>
      <c r="U18" s="9">
        <v>1</v>
      </c>
      <c r="V18" s="9" t="s">
        <v>127</v>
      </c>
      <c r="W18" s="9">
        <v>2</v>
      </c>
      <c r="X18" s="9" t="s">
        <v>127</v>
      </c>
      <c r="Y18" s="9" t="s">
        <v>127</v>
      </c>
      <c r="Z18" s="8">
        <f t="shared" si="0"/>
        <v>9</v>
      </c>
      <c r="AA18" s="8" t="s">
        <v>250</v>
      </c>
      <c r="AB18" s="8" t="s">
        <v>251</v>
      </c>
    </row>
    <row r="19" spans="1:28" ht="15" customHeight="1" x14ac:dyDescent="0.4">
      <c r="A19" s="21">
        <v>4</v>
      </c>
      <c r="B19" s="8" t="s">
        <v>220</v>
      </c>
      <c r="C19" s="8" t="s">
        <v>252</v>
      </c>
      <c r="D19" s="8" t="s">
        <v>253</v>
      </c>
      <c r="E19" s="8" t="s">
        <v>254</v>
      </c>
      <c r="F19" s="8" t="s">
        <v>255</v>
      </c>
      <c r="G19" s="8" t="s">
        <v>256</v>
      </c>
      <c r="H19" s="8" t="s">
        <v>257</v>
      </c>
      <c r="I19" s="9" t="s">
        <v>124</v>
      </c>
      <c r="J19" s="9" t="s">
        <v>125</v>
      </c>
      <c r="K19" s="9"/>
      <c r="L19" s="8" t="s">
        <v>126</v>
      </c>
      <c r="M19" s="8" t="s">
        <v>124</v>
      </c>
      <c r="N19" s="9">
        <v>2</v>
      </c>
      <c r="O19" s="9">
        <v>2</v>
      </c>
      <c r="P19" s="9">
        <v>1</v>
      </c>
      <c r="Q19" s="9">
        <v>0</v>
      </c>
      <c r="R19" s="9" t="s">
        <v>127</v>
      </c>
      <c r="S19" s="9" t="s">
        <v>127</v>
      </c>
      <c r="T19" s="9" t="s">
        <v>127</v>
      </c>
      <c r="U19" s="9">
        <v>1</v>
      </c>
      <c r="V19" s="9" t="s">
        <v>127</v>
      </c>
      <c r="W19" s="9">
        <v>2</v>
      </c>
      <c r="X19" s="9" t="s">
        <v>127</v>
      </c>
      <c r="Y19" s="9" t="s">
        <v>127</v>
      </c>
      <c r="Z19" s="8">
        <f t="shared" si="0"/>
        <v>8</v>
      </c>
      <c r="AA19" s="8" t="s">
        <v>258</v>
      </c>
      <c r="AB19" s="8" t="s">
        <v>259</v>
      </c>
    </row>
    <row r="20" spans="1:28" ht="15" customHeight="1" x14ac:dyDescent="0.4">
      <c r="A20" s="21">
        <v>5</v>
      </c>
      <c r="B20" s="8" t="s">
        <v>220</v>
      </c>
      <c r="C20" s="8" t="s">
        <v>260</v>
      </c>
      <c r="D20" s="8" t="s">
        <v>261</v>
      </c>
      <c r="E20" s="8" t="s">
        <v>262</v>
      </c>
      <c r="F20" s="8" t="s">
        <v>263</v>
      </c>
      <c r="G20" s="8" t="s">
        <v>264</v>
      </c>
      <c r="H20" s="8" t="s">
        <v>265</v>
      </c>
      <c r="I20" s="9" t="s">
        <v>124</v>
      </c>
      <c r="J20" s="9" t="s">
        <v>125</v>
      </c>
      <c r="K20" s="9"/>
      <c r="L20" s="8" t="s">
        <v>126</v>
      </c>
      <c r="M20" s="8" t="s">
        <v>124</v>
      </c>
      <c r="N20" s="9">
        <v>2</v>
      </c>
      <c r="O20" s="9">
        <v>2</v>
      </c>
      <c r="P20" s="9">
        <v>2</v>
      </c>
      <c r="Q20" s="9">
        <v>1</v>
      </c>
      <c r="R20" s="9" t="s">
        <v>127</v>
      </c>
      <c r="S20" s="9" t="s">
        <v>127</v>
      </c>
      <c r="T20" s="9" t="s">
        <v>127</v>
      </c>
      <c r="U20" s="9">
        <v>2</v>
      </c>
      <c r="V20" s="9" t="s">
        <v>127</v>
      </c>
      <c r="W20" s="9">
        <v>2</v>
      </c>
      <c r="X20" s="9" t="s">
        <v>127</v>
      </c>
      <c r="Y20" s="9" t="s">
        <v>127</v>
      </c>
      <c r="Z20" s="8">
        <f t="shared" si="0"/>
        <v>11</v>
      </c>
      <c r="AA20" s="8" t="s">
        <v>266</v>
      </c>
      <c r="AB20" s="8" t="s">
        <v>267</v>
      </c>
    </row>
    <row r="21" spans="1:28" ht="15" customHeight="1" x14ac:dyDescent="0.4">
      <c r="A21" s="21">
        <v>28</v>
      </c>
      <c r="B21" s="8" t="s">
        <v>220</v>
      </c>
      <c r="C21" s="8" t="s">
        <v>268</v>
      </c>
      <c r="D21" s="8" t="s">
        <v>269</v>
      </c>
      <c r="E21" s="8" t="s">
        <v>270</v>
      </c>
      <c r="F21" s="8" t="s">
        <v>121</v>
      </c>
      <c r="G21" s="8" t="s">
        <v>271</v>
      </c>
      <c r="H21" s="8" t="s">
        <v>272</v>
      </c>
      <c r="I21" s="9" t="s">
        <v>124</v>
      </c>
      <c r="J21" s="9" t="s">
        <v>125</v>
      </c>
      <c r="K21" s="9"/>
      <c r="L21" s="8" t="s">
        <v>126</v>
      </c>
      <c r="M21" s="8" t="s">
        <v>124</v>
      </c>
      <c r="N21" s="9">
        <v>2</v>
      </c>
      <c r="O21" s="9" t="s">
        <v>127</v>
      </c>
      <c r="P21" s="9" t="s">
        <v>127</v>
      </c>
      <c r="Q21" s="9" t="s">
        <v>127</v>
      </c>
      <c r="R21" s="9" t="s">
        <v>127</v>
      </c>
      <c r="S21" s="9" t="s">
        <v>127</v>
      </c>
      <c r="T21" s="9" t="s">
        <v>127</v>
      </c>
      <c r="U21" s="9">
        <v>1</v>
      </c>
      <c r="V21" s="9">
        <v>2</v>
      </c>
      <c r="W21" s="9">
        <v>2</v>
      </c>
      <c r="X21" s="9" t="s">
        <v>127</v>
      </c>
      <c r="Y21" s="9" t="s">
        <v>127</v>
      </c>
      <c r="Z21" s="8">
        <f t="shared" si="0"/>
        <v>7</v>
      </c>
      <c r="AA21" s="8" t="s">
        <v>273</v>
      </c>
      <c r="AB21" s="8" t="s">
        <v>274</v>
      </c>
    </row>
    <row r="22" spans="1:28" ht="15" customHeight="1" x14ac:dyDescent="0.4">
      <c r="A22" s="21">
        <v>29</v>
      </c>
      <c r="B22" s="8" t="s">
        <v>220</v>
      </c>
      <c r="C22" s="8" t="s">
        <v>275</v>
      </c>
      <c r="D22" s="8" t="s">
        <v>276</v>
      </c>
      <c r="E22" s="8" t="s">
        <v>277</v>
      </c>
      <c r="F22" s="8" t="s">
        <v>278</v>
      </c>
      <c r="G22" s="8" t="s">
        <v>279</v>
      </c>
      <c r="H22" s="8" t="s">
        <v>280</v>
      </c>
      <c r="I22" s="9" t="s">
        <v>124</v>
      </c>
      <c r="J22" s="9" t="s">
        <v>156</v>
      </c>
      <c r="K22" s="11" t="s">
        <v>77</v>
      </c>
      <c r="L22" s="8" t="s">
        <v>126</v>
      </c>
      <c r="M22" s="8" t="s">
        <v>124</v>
      </c>
      <c r="N22" s="9" t="s">
        <v>127</v>
      </c>
      <c r="O22" s="9" t="s">
        <v>127</v>
      </c>
      <c r="P22" s="9" t="s">
        <v>127</v>
      </c>
      <c r="Q22" s="9" t="s">
        <v>127</v>
      </c>
      <c r="R22" s="9" t="s">
        <v>127</v>
      </c>
      <c r="S22" s="9" t="s">
        <v>127</v>
      </c>
      <c r="T22" s="9" t="s">
        <v>127</v>
      </c>
      <c r="U22" s="9" t="s">
        <v>127</v>
      </c>
      <c r="V22" s="9">
        <v>2</v>
      </c>
      <c r="W22" s="9">
        <v>2</v>
      </c>
      <c r="X22" s="9" t="s">
        <v>127</v>
      </c>
      <c r="Y22" s="9" t="s">
        <v>127</v>
      </c>
      <c r="Z22" s="8">
        <f t="shared" si="0"/>
        <v>4</v>
      </c>
      <c r="AA22" s="8" t="s">
        <v>281</v>
      </c>
      <c r="AB22" s="8" t="s">
        <v>282</v>
      </c>
    </row>
    <row r="23" spans="1:28" ht="15" customHeight="1" x14ac:dyDescent="0.4">
      <c r="A23" s="21">
        <v>16</v>
      </c>
      <c r="B23" s="8" t="s">
        <v>283</v>
      </c>
      <c r="C23" s="8" t="s">
        <v>284</v>
      </c>
      <c r="D23" s="8" t="s">
        <v>285</v>
      </c>
      <c r="E23" s="8" t="s">
        <v>286</v>
      </c>
      <c r="F23" s="8" t="s">
        <v>287</v>
      </c>
      <c r="G23" s="10" t="s">
        <v>288</v>
      </c>
      <c r="H23" s="8" t="s">
        <v>289</v>
      </c>
      <c r="I23" s="9" t="s">
        <v>124</v>
      </c>
      <c r="J23" s="9" t="s">
        <v>125</v>
      </c>
      <c r="K23" s="9"/>
      <c r="L23" s="8" t="s">
        <v>179</v>
      </c>
      <c r="M23" s="8" t="s">
        <v>124</v>
      </c>
      <c r="N23" s="9">
        <v>2</v>
      </c>
      <c r="O23" s="9" t="s">
        <v>127</v>
      </c>
      <c r="P23" s="9" t="s">
        <v>127</v>
      </c>
      <c r="Q23" s="9" t="s">
        <v>127</v>
      </c>
      <c r="R23" s="9" t="s">
        <v>127</v>
      </c>
      <c r="S23" s="9">
        <v>2</v>
      </c>
      <c r="T23" s="9" t="s">
        <v>127</v>
      </c>
      <c r="U23" s="9" t="s">
        <v>127</v>
      </c>
      <c r="V23" s="9">
        <v>2</v>
      </c>
      <c r="W23" s="9">
        <v>2</v>
      </c>
      <c r="X23" s="9" t="s">
        <v>127</v>
      </c>
      <c r="Y23" s="9">
        <v>2</v>
      </c>
      <c r="Z23" s="8">
        <f t="shared" si="0"/>
        <v>10</v>
      </c>
      <c r="AA23" s="8" t="s">
        <v>290</v>
      </c>
      <c r="AB23" s="8" t="s">
        <v>291</v>
      </c>
    </row>
    <row r="24" spans="1:28" ht="15" customHeight="1" x14ac:dyDescent="0.4">
      <c r="A24" s="21">
        <v>17</v>
      </c>
      <c r="B24" s="8" t="s">
        <v>283</v>
      </c>
      <c r="C24" s="8" t="s">
        <v>292</v>
      </c>
      <c r="D24" s="8" t="s">
        <v>293</v>
      </c>
      <c r="E24" s="8" t="s">
        <v>294</v>
      </c>
      <c r="F24" s="8" t="s">
        <v>295</v>
      </c>
      <c r="G24" s="10" t="s">
        <v>296</v>
      </c>
      <c r="H24" s="8" t="s">
        <v>297</v>
      </c>
      <c r="I24" s="9" t="s">
        <v>124</v>
      </c>
      <c r="J24" s="9" t="s">
        <v>125</v>
      </c>
      <c r="K24" s="9"/>
      <c r="L24" s="8" t="s">
        <v>179</v>
      </c>
      <c r="M24" s="8" t="s">
        <v>124</v>
      </c>
      <c r="N24" s="9">
        <v>2</v>
      </c>
      <c r="O24" s="9" t="s">
        <v>127</v>
      </c>
      <c r="P24" s="9" t="s">
        <v>127</v>
      </c>
      <c r="Q24" s="9" t="s">
        <v>127</v>
      </c>
      <c r="R24" s="9" t="s">
        <v>127</v>
      </c>
      <c r="S24" s="9">
        <v>2</v>
      </c>
      <c r="T24" s="9" t="s">
        <v>127</v>
      </c>
      <c r="U24" s="9" t="s">
        <v>127</v>
      </c>
      <c r="V24" s="9">
        <v>1</v>
      </c>
      <c r="W24" s="9">
        <v>2</v>
      </c>
      <c r="X24" s="9" t="s">
        <v>127</v>
      </c>
      <c r="Y24" s="9">
        <v>2</v>
      </c>
      <c r="Z24" s="8">
        <f t="shared" si="0"/>
        <v>9</v>
      </c>
      <c r="AA24" s="8" t="s">
        <v>298</v>
      </c>
      <c r="AB24" s="8" t="s">
        <v>299</v>
      </c>
    </row>
    <row r="25" spans="1:28" ht="15" customHeight="1" x14ac:dyDescent="0.4">
      <c r="A25" s="21">
        <v>18</v>
      </c>
      <c r="B25" s="8" t="s">
        <v>283</v>
      </c>
      <c r="C25" s="8" t="s">
        <v>300</v>
      </c>
      <c r="D25" s="8" t="s">
        <v>301</v>
      </c>
      <c r="E25" s="8" t="s">
        <v>302</v>
      </c>
      <c r="F25" s="8" t="s">
        <v>303</v>
      </c>
      <c r="G25" s="10" t="s">
        <v>304</v>
      </c>
      <c r="H25" s="8" t="s">
        <v>305</v>
      </c>
      <c r="I25" s="9" t="s">
        <v>124</v>
      </c>
      <c r="J25" s="9" t="s">
        <v>125</v>
      </c>
      <c r="K25" s="9"/>
      <c r="L25" s="8" t="s">
        <v>179</v>
      </c>
      <c r="M25" s="8" t="s">
        <v>124</v>
      </c>
      <c r="N25" s="9">
        <v>2</v>
      </c>
      <c r="O25" s="9" t="s">
        <v>127</v>
      </c>
      <c r="P25" s="9" t="s">
        <v>127</v>
      </c>
      <c r="Q25" s="9" t="s">
        <v>127</v>
      </c>
      <c r="R25" s="9" t="s">
        <v>127</v>
      </c>
      <c r="S25" s="9">
        <v>2</v>
      </c>
      <c r="T25" s="9" t="s">
        <v>127</v>
      </c>
      <c r="U25" s="9" t="s">
        <v>127</v>
      </c>
      <c r="V25" s="9">
        <v>2</v>
      </c>
      <c r="W25" s="9">
        <v>2</v>
      </c>
      <c r="X25" s="9" t="s">
        <v>127</v>
      </c>
      <c r="Y25" s="9">
        <v>2</v>
      </c>
      <c r="Z25" s="8">
        <f t="shared" si="0"/>
        <v>10</v>
      </c>
      <c r="AA25" s="8" t="s">
        <v>306</v>
      </c>
      <c r="AB25" s="8" t="s">
        <v>307</v>
      </c>
    </row>
    <row r="26" spans="1:28" ht="15" customHeight="1" x14ac:dyDescent="0.4">
      <c r="A26" s="21">
        <v>19</v>
      </c>
      <c r="B26" s="8" t="s">
        <v>283</v>
      </c>
      <c r="C26" s="8" t="s">
        <v>308</v>
      </c>
      <c r="D26" s="8" t="s">
        <v>309</v>
      </c>
      <c r="E26" s="8" t="s">
        <v>310</v>
      </c>
      <c r="F26" s="8" t="s">
        <v>311</v>
      </c>
      <c r="G26" s="10" t="s">
        <v>312</v>
      </c>
      <c r="H26" s="8" t="s">
        <v>313</v>
      </c>
      <c r="I26" s="9" t="s">
        <v>124</v>
      </c>
      <c r="J26" s="9" t="s">
        <v>125</v>
      </c>
      <c r="K26" s="9"/>
      <c r="L26" s="8" t="s">
        <v>179</v>
      </c>
      <c r="M26" s="8" t="s">
        <v>124</v>
      </c>
      <c r="N26" s="9">
        <v>2</v>
      </c>
      <c r="O26" s="9" t="s">
        <v>127</v>
      </c>
      <c r="P26" s="9" t="s">
        <v>127</v>
      </c>
      <c r="Q26" s="9" t="s">
        <v>127</v>
      </c>
      <c r="R26" s="9" t="s">
        <v>127</v>
      </c>
      <c r="S26" s="9">
        <v>2</v>
      </c>
      <c r="T26" s="9" t="s">
        <v>127</v>
      </c>
      <c r="U26" s="9" t="s">
        <v>127</v>
      </c>
      <c r="V26" s="9">
        <v>1</v>
      </c>
      <c r="W26" s="9">
        <v>2</v>
      </c>
      <c r="X26" s="9" t="s">
        <v>127</v>
      </c>
      <c r="Y26" s="9">
        <v>1</v>
      </c>
      <c r="Z26" s="8">
        <f t="shared" si="0"/>
        <v>8</v>
      </c>
      <c r="AA26" s="8" t="s">
        <v>314</v>
      </c>
      <c r="AB26" s="8" t="s">
        <v>315</v>
      </c>
    </row>
    <row r="27" spans="1:28" ht="15" customHeight="1" x14ac:dyDescent="0.4">
      <c r="A27" s="21">
        <v>20</v>
      </c>
      <c r="B27" s="8" t="s">
        <v>283</v>
      </c>
      <c r="C27" s="8" t="s">
        <v>316</v>
      </c>
      <c r="D27" s="8" t="s">
        <v>317</v>
      </c>
      <c r="E27" s="8" t="s">
        <v>318</v>
      </c>
      <c r="F27" s="8" t="s">
        <v>319</v>
      </c>
      <c r="G27" s="10" t="s">
        <v>320</v>
      </c>
      <c r="H27" s="8" t="s">
        <v>321</v>
      </c>
      <c r="I27" s="9" t="s">
        <v>124</v>
      </c>
      <c r="J27" s="9" t="s">
        <v>125</v>
      </c>
      <c r="K27" s="9"/>
      <c r="L27" s="8" t="s">
        <v>179</v>
      </c>
      <c r="M27" s="8" t="s">
        <v>124</v>
      </c>
      <c r="N27" s="9" t="s">
        <v>127</v>
      </c>
      <c r="O27" s="9" t="s">
        <v>127</v>
      </c>
      <c r="P27" s="9" t="s">
        <v>127</v>
      </c>
      <c r="Q27" s="9" t="s">
        <v>127</v>
      </c>
      <c r="R27" s="9" t="s">
        <v>127</v>
      </c>
      <c r="S27" s="9" t="s">
        <v>127</v>
      </c>
      <c r="T27" s="9" t="s">
        <v>127</v>
      </c>
      <c r="U27" s="9" t="s">
        <v>127</v>
      </c>
      <c r="V27" s="9">
        <v>1</v>
      </c>
      <c r="W27" s="9">
        <v>2</v>
      </c>
      <c r="X27" s="9" t="s">
        <v>127</v>
      </c>
      <c r="Y27" s="9" t="s">
        <v>127</v>
      </c>
      <c r="Z27" s="8">
        <f t="shared" si="0"/>
        <v>3</v>
      </c>
      <c r="AA27" s="8" t="s">
        <v>322</v>
      </c>
      <c r="AB27" s="8" t="s">
        <v>323</v>
      </c>
    </row>
    <row r="28" spans="1:28" ht="15" customHeight="1" x14ac:dyDescent="0.4">
      <c r="A28" s="21">
        <v>6</v>
      </c>
      <c r="B28" s="8" t="s">
        <v>324</v>
      </c>
      <c r="C28" s="8" t="s">
        <v>325</v>
      </c>
      <c r="D28" s="8" t="s">
        <v>326</v>
      </c>
      <c r="E28" s="8" t="s">
        <v>327</v>
      </c>
      <c r="F28" s="8" t="s">
        <v>121</v>
      </c>
      <c r="G28" s="10" t="s">
        <v>328</v>
      </c>
      <c r="H28" s="8" t="s">
        <v>329</v>
      </c>
      <c r="I28" s="9" t="s">
        <v>124</v>
      </c>
      <c r="J28" s="9" t="s">
        <v>125</v>
      </c>
      <c r="K28" s="9"/>
      <c r="L28" s="8" t="s">
        <v>179</v>
      </c>
      <c r="M28" s="8" t="s">
        <v>124</v>
      </c>
      <c r="N28" s="9">
        <v>2</v>
      </c>
      <c r="O28" s="9" t="s">
        <v>127</v>
      </c>
      <c r="P28" s="9" t="s">
        <v>127</v>
      </c>
      <c r="Q28" s="9">
        <v>2</v>
      </c>
      <c r="R28" s="9">
        <v>2</v>
      </c>
      <c r="S28" s="9">
        <v>2</v>
      </c>
      <c r="T28" s="9" t="s">
        <v>127</v>
      </c>
      <c r="U28" s="9">
        <v>2</v>
      </c>
      <c r="V28" s="9">
        <v>2</v>
      </c>
      <c r="W28" s="9">
        <v>2</v>
      </c>
      <c r="X28" s="9" t="s">
        <v>127</v>
      </c>
      <c r="Y28" s="9">
        <v>2</v>
      </c>
      <c r="Z28" s="8">
        <f t="shared" si="0"/>
        <v>16</v>
      </c>
      <c r="AA28" s="8" t="s">
        <v>330</v>
      </c>
      <c r="AB28" s="8" t="s">
        <v>331</v>
      </c>
    </row>
    <row r="29" spans="1:28" ht="15" customHeight="1" x14ac:dyDescent="0.4">
      <c r="A29" s="21">
        <v>7</v>
      </c>
      <c r="B29" s="8" t="s">
        <v>324</v>
      </c>
      <c r="C29" s="8" t="s">
        <v>332</v>
      </c>
      <c r="D29" s="10" t="s">
        <v>333</v>
      </c>
      <c r="E29" s="8" t="s">
        <v>334</v>
      </c>
      <c r="F29" s="8" t="s">
        <v>335</v>
      </c>
      <c r="G29" s="8" t="s">
        <v>336</v>
      </c>
      <c r="H29" s="8" t="s">
        <v>337</v>
      </c>
      <c r="I29" s="9" t="s">
        <v>124</v>
      </c>
      <c r="J29" s="9" t="s">
        <v>125</v>
      </c>
      <c r="K29" s="9"/>
      <c r="L29" s="8" t="s">
        <v>179</v>
      </c>
      <c r="M29" s="8" t="s">
        <v>124</v>
      </c>
      <c r="N29" s="9">
        <v>1</v>
      </c>
      <c r="O29" s="9">
        <v>1</v>
      </c>
      <c r="P29" s="9" t="s">
        <v>127</v>
      </c>
      <c r="Q29" s="9">
        <v>2</v>
      </c>
      <c r="R29" s="9">
        <v>2</v>
      </c>
      <c r="S29" s="9">
        <v>2</v>
      </c>
      <c r="T29" s="9" t="s">
        <v>127</v>
      </c>
      <c r="U29" s="9">
        <v>2</v>
      </c>
      <c r="V29" s="9">
        <v>0</v>
      </c>
      <c r="W29" s="9">
        <v>0</v>
      </c>
      <c r="X29" s="9" t="s">
        <v>127</v>
      </c>
      <c r="Y29" s="9">
        <v>0</v>
      </c>
      <c r="Z29" s="8">
        <f t="shared" si="0"/>
        <v>10</v>
      </c>
      <c r="AA29" s="8" t="s">
        <v>338</v>
      </c>
      <c r="AB29" s="8" t="s">
        <v>339</v>
      </c>
    </row>
    <row r="30" spans="1:28" ht="15" customHeight="1" x14ac:dyDescent="0.4">
      <c r="A30" s="21">
        <v>8</v>
      </c>
      <c r="B30" s="8" t="s">
        <v>324</v>
      </c>
      <c r="C30" s="8" t="s">
        <v>340</v>
      </c>
      <c r="D30" s="10" t="s">
        <v>341</v>
      </c>
      <c r="E30" s="8" t="s">
        <v>342</v>
      </c>
      <c r="F30" s="8" t="s">
        <v>343</v>
      </c>
      <c r="G30" s="8" t="s">
        <v>344</v>
      </c>
      <c r="H30" s="8" t="s">
        <v>345</v>
      </c>
      <c r="I30" s="9" t="s">
        <v>124</v>
      </c>
      <c r="J30" s="9" t="s">
        <v>125</v>
      </c>
      <c r="K30" s="9"/>
      <c r="L30" s="8" t="s">
        <v>179</v>
      </c>
      <c r="M30" s="8" t="s">
        <v>124</v>
      </c>
      <c r="N30" s="9">
        <v>1</v>
      </c>
      <c r="O30" s="9">
        <v>2</v>
      </c>
      <c r="P30" s="9" t="s">
        <v>127</v>
      </c>
      <c r="Q30" s="9">
        <v>2</v>
      </c>
      <c r="R30" s="9">
        <v>1</v>
      </c>
      <c r="S30" s="9">
        <v>2</v>
      </c>
      <c r="T30" s="9" t="s">
        <v>127</v>
      </c>
      <c r="U30" s="9">
        <v>0</v>
      </c>
      <c r="V30" s="9">
        <v>1</v>
      </c>
      <c r="W30" s="9">
        <v>2</v>
      </c>
      <c r="X30" s="9" t="s">
        <v>127</v>
      </c>
      <c r="Y30" s="9">
        <v>1</v>
      </c>
      <c r="Z30" s="8">
        <f t="shared" si="0"/>
        <v>12</v>
      </c>
      <c r="AA30" s="8" t="s">
        <v>346</v>
      </c>
      <c r="AB30" s="8" t="s">
        <v>347</v>
      </c>
    </row>
    <row r="31" spans="1:28" ht="15" customHeight="1" x14ac:dyDescent="0.4">
      <c r="A31" s="21">
        <v>9</v>
      </c>
      <c r="B31" s="8" t="s">
        <v>324</v>
      </c>
      <c r="C31" s="8" t="s">
        <v>348</v>
      </c>
      <c r="D31" s="10" t="s">
        <v>349</v>
      </c>
      <c r="E31" s="8" t="s">
        <v>350</v>
      </c>
      <c r="F31" s="8" t="s">
        <v>351</v>
      </c>
      <c r="G31" s="8" t="s">
        <v>352</v>
      </c>
      <c r="H31" s="8" t="s">
        <v>353</v>
      </c>
      <c r="I31" s="9" t="s">
        <v>124</v>
      </c>
      <c r="J31" s="9" t="s">
        <v>125</v>
      </c>
      <c r="K31" s="9"/>
      <c r="L31" s="8" t="s">
        <v>179</v>
      </c>
      <c r="M31" s="8" t="s">
        <v>124</v>
      </c>
      <c r="N31" s="9">
        <v>2</v>
      </c>
      <c r="O31" s="9">
        <v>2</v>
      </c>
      <c r="P31" s="9" t="s">
        <v>127</v>
      </c>
      <c r="Q31" s="9">
        <v>0</v>
      </c>
      <c r="R31" s="9">
        <v>2</v>
      </c>
      <c r="S31" s="9">
        <v>2</v>
      </c>
      <c r="T31" s="9" t="s">
        <v>127</v>
      </c>
      <c r="U31" s="9">
        <v>1</v>
      </c>
      <c r="V31" s="9">
        <v>0</v>
      </c>
      <c r="W31" s="9">
        <v>2</v>
      </c>
      <c r="X31" s="9" t="s">
        <v>127</v>
      </c>
      <c r="Y31" s="9">
        <v>2</v>
      </c>
      <c r="Z31" s="8">
        <f t="shared" si="0"/>
        <v>13</v>
      </c>
      <c r="AA31" s="8" t="s">
        <v>354</v>
      </c>
      <c r="AB31" s="8" t="s">
        <v>355</v>
      </c>
    </row>
    <row r="32" spans="1:28" ht="15" customHeight="1" x14ac:dyDescent="0.4">
      <c r="A32" s="21">
        <v>10</v>
      </c>
      <c r="B32" s="8" t="s">
        <v>324</v>
      </c>
      <c r="C32" s="8" t="s">
        <v>356</v>
      </c>
      <c r="D32" s="10" t="s">
        <v>357</v>
      </c>
      <c r="E32" s="8" t="s">
        <v>358</v>
      </c>
      <c r="F32" s="8" t="s">
        <v>359</v>
      </c>
      <c r="G32" s="8" t="s">
        <v>360</v>
      </c>
      <c r="H32" s="8" t="s">
        <v>361</v>
      </c>
      <c r="I32" s="9" t="s">
        <v>124</v>
      </c>
      <c r="J32" s="9" t="s">
        <v>125</v>
      </c>
      <c r="K32" s="9"/>
      <c r="L32" s="8" t="s">
        <v>179</v>
      </c>
      <c r="M32" s="8" t="s">
        <v>124</v>
      </c>
      <c r="N32" s="9">
        <v>2</v>
      </c>
      <c r="O32" s="9">
        <v>0</v>
      </c>
      <c r="P32" s="9" t="s">
        <v>127</v>
      </c>
      <c r="Q32" s="9">
        <v>0</v>
      </c>
      <c r="R32" s="9">
        <v>2</v>
      </c>
      <c r="S32" s="9">
        <v>0</v>
      </c>
      <c r="T32" s="9" t="s">
        <v>127</v>
      </c>
      <c r="U32" s="9">
        <v>0</v>
      </c>
      <c r="V32" s="9">
        <v>0</v>
      </c>
      <c r="W32" s="9">
        <v>1</v>
      </c>
      <c r="X32" s="9" t="s">
        <v>127</v>
      </c>
      <c r="Y32" s="9">
        <v>1</v>
      </c>
      <c r="Z32" s="8">
        <f t="shared" si="0"/>
        <v>6</v>
      </c>
      <c r="AA32" s="8" t="s">
        <v>362</v>
      </c>
      <c r="AB32" s="8" t="s">
        <v>363</v>
      </c>
    </row>
    <row r="33" spans="1:28" ht="15" customHeight="1" x14ac:dyDescent="0.4">
      <c r="A33" s="21">
        <v>26</v>
      </c>
      <c r="B33" s="8" t="s">
        <v>324</v>
      </c>
      <c r="C33" s="8" t="s">
        <v>364</v>
      </c>
      <c r="D33" s="10" t="s">
        <v>365</v>
      </c>
      <c r="E33" s="8" t="s">
        <v>366</v>
      </c>
      <c r="F33" s="8" t="s">
        <v>193</v>
      </c>
      <c r="G33" s="8" t="s">
        <v>367</v>
      </c>
      <c r="H33" s="8" t="s">
        <v>368</v>
      </c>
      <c r="I33" s="9" t="s">
        <v>124</v>
      </c>
      <c r="J33" s="9" t="s">
        <v>125</v>
      </c>
      <c r="K33" s="9"/>
      <c r="L33" s="8" t="s">
        <v>179</v>
      </c>
      <c r="M33" s="8" t="s">
        <v>124</v>
      </c>
      <c r="N33" s="9">
        <v>2</v>
      </c>
      <c r="O33" s="9" t="s">
        <v>127</v>
      </c>
      <c r="P33" s="9" t="s">
        <v>127</v>
      </c>
      <c r="Q33" s="9">
        <v>1</v>
      </c>
      <c r="R33" s="9">
        <v>1</v>
      </c>
      <c r="S33" s="9">
        <v>2</v>
      </c>
      <c r="T33" s="9" t="s">
        <v>127</v>
      </c>
      <c r="U33" s="9">
        <v>1</v>
      </c>
      <c r="V33" s="9" t="s">
        <v>127</v>
      </c>
      <c r="W33" s="9">
        <v>2</v>
      </c>
      <c r="X33" s="9" t="s">
        <v>127</v>
      </c>
      <c r="Y33" s="9" t="s">
        <v>127</v>
      </c>
      <c r="Z33" s="8">
        <f t="shared" si="0"/>
        <v>9</v>
      </c>
      <c r="AA33" s="8" t="s">
        <v>369</v>
      </c>
      <c r="AB33" s="8" t="s">
        <v>370</v>
      </c>
    </row>
    <row r="34" spans="1:28" ht="15" customHeight="1" x14ac:dyDescent="0.4">
      <c r="A34" s="21">
        <v>27</v>
      </c>
      <c r="B34" s="8" t="s">
        <v>324</v>
      </c>
      <c r="C34" s="8" t="s">
        <v>371</v>
      </c>
      <c r="D34" s="8" t="s">
        <v>372</v>
      </c>
      <c r="E34" s="8" t="s">
        <v>373</v>
      </c>
      <c r="F34" s="8" t="s">
        <v>121</v>
      </c>
      <c r="G34" s="8" t="s">
        <v>374</v>
      </c>
      <c r="H34" s="8" t="s">
        <v>375</v>
      </c>
      <c r="I34" s="9" t="s">
        <v>124</v>
      </c>
      <c r="J34" s="9" t="s">
        <v>156</v>
      </c>
      <c r="K34" s="12" t="s">
        <v>73</v>
      </c>
      <c r="L34" s="8" t="s">
        <v>179</v>
      </c>
      <c r="M34" s="8" t="s">
        <v>124</v>
      </c>
      <c r="N34" s="9"/>
      <c r="O34" s="9"/>
      <c r="P34" s="9"/>
      <c r="Q34" s="9"/>
      <c r="R34" s="9"/>
      <c r="S34" s="9"/>
      <c r="T34" s="9"/>
      <c r="U34" s="9"/>
      <c r="V34" s="9"/>
      <c r="W34" s="9"/>
      <c r="X34" s="9"/>
      <c r="Y34" s="9"/>
      <c r="Z34" s="8">
        <f t="shared" si="0"/>
        <v>0</v>
      </c>
      <c r="AA34" s="8"/>
      <c r="AB34" s="8" t="s">
        <v>376</v>
      </c>
    </row>
    <row r="35" spans="1:28" ht="15" customHeight="1" x14ac:dyDescent="0.4">
      <c r="A35" s="21">
        <v>37</v>
      </c>
      <c r="B35" s="8" t="s">
        <v>220</v>
      </c>
      <c r="C35" s="8" t="s">
        <v>559</v>
      </c>
      <c r="D35" s="8" t="s">
        <v>377</v>
      </c>
      <c r="E35" s="8" t="s">
        <v>378</v>
      </c>
      <c r="F35" s="8" t="s">
        <v>379</v>
      </c>
      <c r="G35" s="8" t="s">
        <v>380</v>
      </c>
      <c r="H35" s="8" t="s">
        <v>381</v>
      </c>
      <c r="I35" s="9" t="s">
        <v>124</v>
      </c>
      <c r="J35" s="9" t="s">
        <v>125</v>
      </c>
      <c r="K35" s="9"/>
      <c r="L35" s="8" t="s">
        <v>126</v>
      </c>
      <c r="M35" s="8" t="s">
        <v>124</v>
      </c>
      <c r="N35" s="9" t="s">
        <v>127</v>
      </c>
      <c r="O35" s="9" t="s">
        <v>127</v>
      </c>
      <c r="P35" s="9">
        <v>0</v>
      </c>
      <c r="Q35" s="9">
        <v>2</v>
      </c>
      <c r="R35" s="9">
        <v>0</v>
      </c>
      <c r="S35" s="9" t="s">
        <v>127</v>
      </c>
      <c r="T35" s="9" t="s">
        <v>127</v>
      </c>
      <c r="U35" s="9">
        <v>2</v>
      </c>
      <c r="V35" s="9" t="s">
        <v>127</v>
      </c>
      <c r="W35" s="9">
        <v>2</v>
      </c>
      <c r="X35" s="9" t="s">
        <v>127</v>
      </c>
      <c r="Y35" s="9">
        <v>0</v>
      </c>
      <c r="Z35" s="8">
        <f t="shared" si="0"/>
        <v>6</v>
      </c>
      <c r="AA35" s="8" t="s">
        <v>382</v>
      </c>
      <c r="AB35" s="8" t="s">
        <v>383</v>
      </c>
    </row>
    <row r="36" spans="1:28" ht="15" customHeight="1" x14ac:dyDescent="0.4">
      <c r="A36" s="21">
        <v>38</v>
      </c>
      <c r="B36" s="8" t="s">
        <v>220</v>
      </c>
      <c r="C36" s="8" t="s">
        <v>384</v>
      </c>
      <c r="D36" s="10" t="s">
        <v>385</v>
      </c>
      <c r="E36" s="8" t="s">
        <v>386</v>
      </c>
      <c r="F36" s="8" t="s">
        <v>387</v>
      </c>
      <c r="G36" s="8" t="s">
        <v>388</v>
      </c>
      <c r="H36" s="8" t="s">
        <v>389</v>
      </c>
      <c r="I36" s="9" t="s">
        <v>124</v>
      </c>
      <c r="J36" s="9" t="s">
        <v>125</v>
      </c>
      <c r="K36" s="9"/>
      <c r="L36" s="8" t="s">
        <v>126</v>
      </c>
      <c r="M36" s="8" t="s">
        <v>124</v>
      </c>
      <c r="N36" s="9">
        <v>2</v>
      </c>
      <c r="O36" s="9" t="s">
        <v>127</v>
      </c>
      <c r="P36" s="9">
        <v>1</v>
      </c>
      <c r="Q36" s="9">
        <v>1</v>
      </c>
      <c r="R36" s="9" t="s">
        <v>127</v>
      </c>
      <c r="S36" s="9" t="s">
        <v>127</v>
      </c>
      <c r="T36" s="9" t="s">
        <v>127</v>
      </c>
      <c r="U36" s="9">
        <v>1</v>
      </c>
      <c r="V36" s="9">
        <v>2</v>
      </c>
      <c r="W36" s="9">
        <v>2</v>
      </c>
      <c r="X36" s="9" t="s">
        <v>127</v>
      </c>
      <c r="Y36" s="9" t="s">
        <v>127</v>
      </c>
      <c r="Z36" s="8">
        <f t="shared" si="0"/>
        <v>9</v>
      </c>
      <c r="AA36" s="8" t="s">
        <v>390</v>
      </c>
      <c r="AB36" s="8" t="s">
        <v>391</v>
      </c>
    </row>
    <row r="37" spans="1:28" ht="15" customHeight="1" x14ac:dyDescent="0.4">
      <c r="A37" s="21">
        <v>39</v>
      </c>
      <c r="B37" s="10" t="s">
        <v>324</v>
      </c>
      <c r="C37" s="8" t="s">
        <v>392</v>
      </c>
      <c r="D37" s="8" t="s">
        <v>393</v>
      </c>
      <c r="E37" s="8" t="s">
        <v>394</v>
      </c>
      <c r="F37" s="8" t="s">
        <v>395</v>
      </c>
      <c r="G37" s="8" t="s">
        <v>396</v>
      </c>
      <c r="H37" s="8" t="s">
        <v>397</v>
      </c>
      <c r="I37" s="9" t="s">
        <v>124</v>
      </c>
      <c r="J37" s="9" t="s">
        <v>125</v>
      </c>
      <c r="K37" s="9"/>
      <c r="L37" s="21" t="s">
        <v>179</v>
      </c>
      <c r="M37" s="8" t="s">
        <v>124</v>
      </c>
      <c r="N37" s="9">
        <v>1</v>
      </c>
      <c r="O37" s="9">
        <v>0</v>
      </c>
      <c r="P37" s="9">
        <v>0</v>
      </c>
      <c r="Q37" s="9">
        <v>0</v>
      </c>
      <c r="R37" s="9">
        <v>2</v>
      </c>
      <c r="S37" s="9">
        <v>1</v>
      </c>
      <c r="T37" s="9">
        <v>0</v>
      </c>
      <c r="U37" s="9">
        <v>0</v>
      </c>
      <c r="V37" s="9">
        <v>1</v>
      </c>
      <c r="W37" s="9">
        <v>1</v>
      </c>
      <c r="X37" s="9">
        <v>0</v>
      </c>
      <c r="Y37" s="9">
        <v>1</v>
      </c>
      <c r="Z37" s="8">
        <f t="shared" si="0"/>
        <v>7</v>
      </c>
      <c r="AA37" s="10" t="s">
        <v>398</v>
      </c>
      <c r="AB37" s="1" t="s">
        <v>399</v>
      </c>
    </row>
    <row r="38" spans="1:28" ht="15" customHeight="1" x14ac:dyDescent="0.4">
      <c r="A38" s="21">
        <v>44</v>
      </c>
      <c r="B38" s="8" t="s">
        <v>117</v>
      </c>
      <c r="C38" s="8" t="s">
        <v>400</v>
      </c>
      <c r="D38" s="8" t="s">
        <v>401</v>
      </c>
      <c r="E38" s="10" t="s">
        <v>402</v>
      </c>
      <c r="F38" s="8" t="s">
        <v>121</v>
      </c>
      <c r="G38" s="8" t="s">
        <v>404</v>
      </c>
      <c r="H38" s="8" t="s">
        <v>405</v>
      </c>
      <c r="I38" s="9" t="s">
        <v>124</v>
      </c>
      <c r="J38" s="9" t="s">
        <v>125</v>
      </c>
      <c r="K38" s="9"/>
      <c r="L38" s="8" t="s">
        <v>126</v>
      </c>
      <c r="M38" s="8" t="s">
        <v>124</v>
      </c>
      <c r="N38" s="9">
        <v>1</v>
      </c>
      <c r="O38" s="9">
        <v>2</v>
      </c>
      <c r="P38" s="9" t="s">
        <v>127</v>
      </c>
      <c r="Q38" s="9" t="s">
        <v>127</v>
      </c>
      <c r="R38" s="9" t="s">
        <v>127</v>
      </c>
      <c r="S38" s="9" t="s">
        <v>127</v>
      </c>
      <c r="T38" s="9">
        <v>2</v>
      </c>
      <c r="U38" s="9">
        <v>2</v>
      </c>
      <c r="V38" s="9" t="s">
        <v>127</v>
      </c>
      <c r="W38" s="9">
        <v>2</v>
      </c>
      <c r="X38" s="9" t="s">
        <v>127</v>
      </c>
      <c r="Y38" s="9">
        <v>2</v>
      </c>
      <c r="Z38" s="8">
        <f t="shared" si="0"/>
        <v>11</v>
      </c>
      <c r="AA38" s="8" t="s">
        <v>406</v>
      </c>
      <c r="AB38" s="8" t="s">
        <v>407</v>
      </c>
    </row>
    <row r="39" spans="1:28" ht="15" customHeight="1" x14ac:dyDescent="0.4">
      <c r="A39" s="21">
        <v>45</v>
      </c>
      <c r="B39" s="8" t="s">
        <v>324</v>
      </c>
      <c r="C39" s="8" t="s">
        <v>408</v>
      </c>
      <c r="D39" s="10" t="s">
        <v>409</v>
      </c>
      <c r="E39" s="10" t="s">
        <v>560</v>
      </c>
      <c r="F39" t="s">
        <v>311</v>
      </c>
      <c r="G39" t="s">
        <v>561</v>
      </c>
      <c r="H39" s="8" t="s">
        <v>567</v>
      </c>
      <c r="I39" s="13" t="s">
        <v>124</v>
      </c>
      <c r="J39" s="13" t="s">
        <v>156</v>
      </c>
      <c r="K39" s="9" t="s">
        <v>85</v>
      </c>
      <c r="L39" s="8"/>
      <c r="M39" s="8"/>
      <c r="N39" s="9"/>
      <c r="O39" s="9"/>
      <c r="P39" s="9"/>
      <c r="Q39" s="9"/>
      <c r="R39" s="9"/>
      <c r="S39" s="9"/>
      <c r="T39" s="9"/>
      <c r="U39" s="9"/>
      <c r="V39" s="9"/>
      <c r="W39" s="9"/>
      <c r="X39" s="9"/>
      <c r="Y39" s="9"/>
      <c r="Z39" s="8">
        <f t="shared" si="0"/>
        <v>0</v>
      </c>
      <c r="AA39" s="8"/>
      <c r="AB39" s="8" t="s">
        <v>410</v>
      </c>
    </row>
    <row r="40" spans="1:28" ht="15" customHeight="1" x14ac:dyDescent="0.4">
      <c r="A40" s="21">
        <v>46</v>
      </c>
      <c r="B40" s="8" t="s">
        <v>220</v>
      </c>
      <c r="C40" s="21" t="s">
        <v>411</v>
      </c>
      <c r="D40" s="10" t="s">
        <v>412</v>
      </c>
      <c r="E40" t="s">
        <v>413</v>
      </c>
      <c r="F40" s="8" t="s">
        <v>121</v>
      </c>
      <c r="G40" s="8" t="s">
        <v>414</v>
      </c>
      <c r="H40" s="8" t="s">
        <v>415</v>
      </c>
      <c r="I40" s="13" t="s">
        <v>124</v>
      </c>
      <c r="J40" s="9" t="s">
        <v>125</v>
      </c>
      <c r="K40" s="9"/>
      <c r="L40" s="8" t="s">
        <v>126</v>
      </c>
      <c r="M40" s="8" t="s">
        <v>124</v>
      </c>
      <c r="N40" s="9">
        <v>2</v>
      </c>
      <c r="O40" s="9">
        <v>2</v>
      </c>
      <c r="P40" s="9" t="s">
        <v>127</v>
      </c>
      <c r="Q40" s="9" t="s">
        <v>127</v>
      </c>
      <c r="R40" s="9" t="s">
        <v>127</v>
      </c>
      <c r="S40" s="9" t="s">
        <v>127</v>
      </c>
      <c r="T40" s="9" t="s">
        <v>127</v>
      </c>
      <c r="U40" s="9">
        <v>1</v>
      </c>
      <c r="V40" s="9" t="s">
        <v>127</v>
      </c>
      <c r="W40" s="9">
        <v>1</v>
      </c>
      <c r="X40" s="9" t="s">
        <v>127</v>
      </c>
      <c r="Y40" s="9" t="s">
        <v>127</v>
      </c>
      <c r="Z40" s="8">
        <f t="shared" si="0"/>
        <v>6</v>
      </c>
      <c r="AA40" s="8" t="s">
        <v>416</v>
      </c>
      <c r="AB40" s="8" t="s">
        <v>417</v>
      </c>
    </row>
    <row r="41" spans="1:28" ht="15" customHeight="1" x14ac:dyDescent="0.4">
      <c r="A41" s="21">
        <v>47</v>
      </c>
      <c r="B41" s="8" t="s">
        <v>220</v>
      </c>
      <c r="C41" s="8" t="s">
        <v>510</v>
      </c>
      <c r="D41" s="10" t="s">
        <v>511</v>
      </c>
      <c r="E41" s="8" t="s">
        <v>512</v>
      </c>
      <c r="F41" s="8" t="s">
        <v>121</v>
      </c>
      <c r="G41" s="8" t="s">
        <v>513</v>
      </c>
      <c r="H41" s="8" t="s">
        <v>418</v>
      </c>
      <c r="I41" s="13" t="s">
        <v>124</v>
      </c>
      <c r="J41" s="13" t="s">
        <v>125</v>
      </c>
      <c r="K41" s="9"/>
      <c r="L41" s="8" t="s">
        <v>126</v>
      </c>
      <c r="M41" s="8" t="s">
        <v>124</v>
      </c>
      <c r="N41" s="9" t="s">
        <v>127</v>
      </c>
      <c r="O41" s="9" t="s">
        <v>127</v>
      </c>
      <c r="P41" s="9" t="s">
        <v>127</v>
      </c>
      <c r="Q41" s="9">
        <v>1</v>
      </c>
      <c r="R41" s="9" t="s">
        <v>127</v>
      </c>
      <c r="S41" s="9" t="s">
        <v>127</v>
      </c>
      <c r="T41" s="9" t="s">
        <v>127</v>
      </c>
      <c r="U41" s="9">
        <v>1</v>
      </c>
      <c r="V41" s="9" t="s">
        <v>127</v>
      </c>
      <c r="W41" s="9">
        <v>0</v>
      </c>
      <c r="X41" s="9" t="s">
        <v>127</v>
      </c>
      <c r="Y41" s="9" t="s">
        <v>127</v>
      </c>
      <c r="Z41" s="8">
        <f t="shared" si="0"/>
        <v>2</v>
      </c>
      <c r="AA41" s="8" t="s">
        <v>514</v>
      </c>
      <c r="AB41" s="8" t="s">
        <v>515</v>
      </c>
    </row>
    <row r="42" spans="1:28" ht="15" customHeight="1" x14ac:dyDescent="0.4">
      <c r="A42" s="21">
        <v>48</v>
      </c>
      <c r="B42" s="8" t="s">
        <v>220</v>
      </c>
      <c r="C42" s="8" t="s">
        <v>419</v>
      </c>
      <c r="D42" s="10" t="s">
        <v>420</v>
      </c>
      <c r="E42" s="8" t="s">
        <v>421</v>
      </c>
      <c r="F42" s="8" t="s">
        <v>121</v>
      </c>
      <c r="G42" s="8" t="s">
        <v>422</v>
      </c>
      <c r="H42" s="8" t="s">
        <v>423</v>
      </c>
      <c r="I42" s="13" t="s">
        <v>124</v>
      </c>
      <c r="J42" s="13" t="s">
        <v>125</v>
      </c>
      <c r="K42" s="9"/>
      <c r="L42" s="8" t="s">
        <v>126</v>
      </c>
      <c r="M42" s="8" t="s">
        <v>124</v>
      </c>
      <c r="N42" s="9" t="s">
        <v>127</v>
      </c>
      <c r="O42" s="9" t="s">
        <v>127</v>
      </c>
      <c r="P42" s="9">
        <v>1</v>
      </c>
      <c r="Q42" s="9">
        <v>0</v>
      </c>
      <c r="R42" s="9" t="s">
        <v>127</v>
      </c>
      <c r="S42" s="9" t="s">
        <v>127</v>
      </c>
      <c r="T42" s="9" t="s">
        <v>127</v>
      </c>
      <c r="U42" s="9">
        <v>0</v>
      </c>
      <c r="V42" s="9" t="s">
        <v>127</v>
      </c>
      <c r="W42" s="9">
        <v>0</v>
      </c>
      <c r="X42" s="9" t="s">
        <v>127</v>
      </c>
      <c r="Y42" s="9" t="s">
        <v>127</v>
      </c>
      <c r="Z42" s="8">
        <f t="shared" si="0"/>
        <v>1</v>
      </c>
      <c r="AA42" s="8" t="s">
        <v>424</v>
      </c>
      <c r="AB42" s="8" t="s">
        <v>425</v>
      </c>
    </row>
    <row r="43" spans="1:28" ht="15" customHeight="1" x14ac:dyDescent="0.4">
      <c r="A43" s="21">
        <v>49</v>
      </c>
      <c r="B43" s="8" t="s">
        <v>220</v>
      </c>
      <c r="C43" s="8" t="s">
        <v>426</v>
      </c>
      <c r="D43" s="10" t="s">
        <v>427</v>
      </c>
      <c r="E43" s="8" t="s">
        <v>428</v>
      </c>
      <c r="F43" s="8" t="s">
        <v>429</v>
      </c>
      <c r="G43" s="8" t="s">
        <v>430</v>
      </c>
      <c r="H43" s="8" t="s">
        <v>431</v>
      </c>
      <c r="I43" s="13" t="s">
        <v>124</v>
      </c>
      <c r="J43" s="13" t="s">
        <v>125</v>
      </c>
      <c r="K43" s="9"/>
      <c r="L43" s="8" t="s">
        <v>126</v>
      </c>
      <c r="M43" s="8" t="s">
        <v>124</v>
      </c>
      <c r="N43" s="9">
        <v>2</v>
      </c>
      <c r="O43" s="9">
        <v>2</v>
      </c>
      <c r="P43" s="9">
        <v>1</v>
      </c>
      <c r="Q43" s="9">
        <v>1</v>
      </c>
      <c r="R43" s="9" t="s">
        <v>127</v>
      </c>
      <c r="S43" s="9" t="s">
        <v>127</v>
      </c>
      <c r="T43" s="9" t="s">
        <v>127</v>
      </c>
      <c r="U43" s="9">
        <v>2</v>
      </c>
      <c r="V43" s="9" t="s">
        <v>127</v>
      </c>
      <c r="W43" s="9">
        <v>2</v>
      </c>
      <c r="X43" s="9" t="s">
        <v>127</v>
      </c>
      <c r="Y43" s="9">
        <v>1</v>
      </c>
      <c r="Z43" s="8">
        <f t="shared" si="0"/>
        <v>11</v>
      </c>
      <c r="AA43" s="8" t="s">
        <v>432</v>
      </c>
      <c r="AB43" s="8" t="s">
        <v>433</v>
      </c>
    </row>
    <row r="44" spans="1:28" ht="15" customHeight="1" x14ac:dyDescent="0.4">
      <c r="A44" s="21"/>
      <c r="B44" s="8"/>
      <c r="C44" s="8"/>
      <c r="D44" s="10"/>
      <c r="E44" s="8"/>
      <c r="F44" s="8"/>
      <c r="G44" s="8"/>
      <c r="H44" s="8"/>
      <c r="I44" s="13"/>
      <c r="J44" s="13"/>
      <c r="K44" s="9"/>
      <c r="L44" s="8"/>
      <c r="M44" s="8"/>
      <c r="N44" s="9"/>
      <c r="O44" s="9"/>
      <c r="P44" s="9"/>
      <c r="Q44" s="9"/>
      <c r="R44" s="9"/>
      <c r="S44" s="9"/>
      <c r="T44" s="9"/>
      <c r="U44" s="9"/>
      <c r="V44" s="9"/>
      <c r="W44" s="9"/>
      <c r="X44" s="9"/>
      <c r="Y44" s="9"/>
      <c r="Z44" s="8">
        <f t="shared" si="0"/>
        <v>0</v>
      </c>
      <c r="AA44" s="8"/>
      <c r="AB44" s="8"/>
    </row>
    <row r="45" spans="1:28" ht="15" customHeight="1" x14ac:dyDescent="0.4">
      <c r="A45" s="21"/>
      <c r="B45" s="8"/>
      <c r="C45" s="8"/>
      <c r="D45" s="10"/>
      <c r="E45" s="8"/>
      <c r="F45" s="8"/>
      <c r="G45" s="8"/>
      <c r="H45" s="8"/>
      <c r="I45" s="13"/>
      <c r="J45" s="13"/>
      <c r="K45" s="9"/>
      <c r="L45" s="8"/>
      <c r="M45" s="8"/>
      <c r="N45" s="9"/>
      <c r="O45" s="9"/>
      <c r="P45" s="9"/>
      <c r="Q45" s="9"/>
      <c r="R45" s="9"/>
      <c r="S45" s="9"/>
      <c r="T45" s="9"/>
      <c r="U45" s="9"/>
      <c r="V45" s="9"/>
      <c r="W45" s="9"/>
      <c r="X45" s="9"/>
      <c r="Y45" s="9"/>
      <c r="Z45" s="8">
        <f t="shared" si="0"/>
        <v>0</v>
      </c>
      <c r="AA45" s="8"/>
      <c r="AB45" s="8"/>
    </row>
    <row r="46" spans="1:28" ht="15" customHeight="1" x14ac:dyDescent="0.4">
      <c r="A46" s="21"/>
      <c r="B46" s="8"/>
      <c r="C46" s="8"/>
      <c r="D46" s="10"/>
      <c r="E46" s="8"/>
      <c r="F46" s="8"/>
      <c r="G46" s="8"/>
      <c r="H46" s="8"/>
      <c r="I46" s="13"/>
      <c r="J46" s="13"/>
      <c r="K46" s="9"/>
      <c r="L46" s="8"/>
      <c r="M46" s="8"/>
      <c r="N46" s="9"/>
      <c r="O46" s="9"/>
      <c r="P46" s="9"/>
      <c r="Q46" s="9"/>
      <c r="R46" s="9"/>
      <c r="S46" s="9"/>
      <c r="T46" s="9"/>
      <c r="U46" s="9"/>
      <c r="V46" s="9"/>
      <c r="W46" s="9"/>
      <c r="X46" s="9"/>
      <c r="Y46" s="9"/>
      <c r="Z46" s="8"/>
      <c r="AA46" s="8"/>
      <c r="AB46" s="8"/>
    </row>
    <row r="47" spans="1:28" ht="15" customHeight="1" x14ac:dyDescent="0.4">
      <c r="A47" s="21"/>
      <c r="B47" s="8"/>
      <c r="C47" s="8"/>
      <c r="D47" s="10"/>
      <c r="E47" s="8"/>
      <c r="F47" s="8"/>
      <c r="G47" s="8"/>
      <c r="H47" s="8"/>
      <c r="I47" s="13"/>
      <c r="J47" s="13"/>
      <c r="K47" s="9"/>
      <c r="L47" s="8"/>
      <c r="M47" s="8"/>
      <c r="N47" s="9"/>
      <c r="O47" s="9"/>
      <c r="P47" s="9"/>
      <c r="Q47" s="9"/>
      <c r="R47" s="9"/>
      <c r="S47" s="9"/>
      <c r="T47" s="9"/>
      <c r="U47" s="9"/>
      <c r="V47" s="9"/>
      <c r="W47" s="9"/>
      <c r="X47" s="9"/>
      <c r="Y47" s="9"/>
      <c r="Z47" s="8"/>
      <c r="AA47" s="8"/>
      <c r="AB47" s="8"/>
    </row>
    <row r="48" spans="1:28" ht="15" customHeight="1" x14ac:dyDescent="0.4">
      <c r="A48" s="8"/>
      <c r="B48" s="8"/>
      <c r="C48" s="8"/>
      <c r="D48" s="8"/>
      <c r="E48" s="8"/>
      <c r="F48" s="8"/>
      <c r="G48" s="8"/>
      <c r="H48" s="8"/>
      <c r="I48" s="9"/>
      <c r="J48" s="9"/>
      <c r="K48" s="9"/>
      <c r="L48" s="8"/>
      <c r="M48" s="8"/>
      <c r="N48" s="9"/>
      <c r="O48" s="9"/>
      <c r="P48" s="9"/>
      <c r="Q48" s="9"/>
      <c r="R48" s="9"/>
      <c r="S48" s="9"/>
      <c r="T48" s="9"/>
      <c r="U48" s="9"/>
      <c r="V48" s="9"/>
      <c r="W48" s="9"/>
      <c r="X48" s="9"/>
      <c r="Y48" s="9"/>
      <c r="Z48" s="8"/>
      <c r="AA48" s="8"/>
      <c r="AB48" s="8"/>
    </row>
    <row r="49" spans="1:28" ht="15" customHeight="1" x14ac:dyDescent="0.4">
      <c r="A49" s="8"/>
      <c r="B49" s="8"/>
      <c r="C49" s="8"/>
      <c r="D49" s="8"/>
      <c r="E49" s="8"/>
      <c r="F49" s="8"/>
      <c r="G49" s="8"/>
      <c r="H49" s="8"/>
      <c r="I49" s="9"/>
      <c r="J49" s="9"/>
      <c r="K49" s="9"/>
      <c r="L49" s="8"/>
      <c r="M49" s="8"/>
      <c r="N49" s="9"/>
      <c r="O49" s="9"/>
      <c r="P49" s="9"/>
      <c r="Q49" s="9"/>
      <c r="R49" s="9"/>
      <c r="S49" s="9"/>
      <c r="T49" s="9"/>
      <c r="U49" s="9"/>
      <c r="V49" s="9"/>
      <c r="W49" s="9"/>
      <c r="X49" s="9"/>
      <c r="Y49" s="9"/>
      <c r="Z49" s="8"/>
      <c r="AA49" s="8"/>
      <c r="AB49" s="8"/>
    </row>
    <row r="50" spans="1:28" ht="15" customHeight="1" x14ac:dyDescent="0.4">
      <c r="A50" s="8"/>
      <c r="B50" s="8"/>
      <c r="C50" s="8"/>
      <c r="D50" s="8"/>
      <c r="E50" s="8"/>
      <c r="F50" s="8"/>
      <c r="G50" s="8"/>
      <c r="H50" s="8"/>
      <c r="I50" s="9"/>
      <c r="J50" s="9"/>
      <c r="K50" s="9"/>
      <c r="L50" s="8"/>
      <c r="M50" s="8"/>
      <c r="N50" s="9"/>
      <c r="O50" s="9"/>
      <c r="P50" s="9"/>
      <c r="Q50" s="9"/>
      <c r="R50" s="9"/>
      <c r="S50" s="9"/>
      <c r="T50" s="9"/>
      <c r="U50" s="9"/>
      <c r="V50" s="9"/>
      <c r="W50" s="9"/>
      <c r="X50" s="9"/>
      <c r="Y50" s="9"/>
      <c r="Z50" s="8"/>
      <c r="AA50" s="8"/>
      <c r="AB50" s="8"/>
    </row>
    <row r="51" spans="1:28" ht="15" customHeight="1" x14ac:dyDescent="0.4">
      <c r="A51" s="8"/>
      <c r="B51" s="8"/>
      <c r="C51" s="8"/>
      <c r="D51" s="8"/>
      <c r="E51" s="8"/>
      <c r="F51" s="8"/>
      <c r="G51" s="8"/>
      <c r="H51" s="8"/>
      <c r="I51" s="9"/>
      <c r="J51" s="9"/>
      <c r="K51" s="9"/>
      <c r="L51" s="8"/>
      <c r="M51" s="8"/>
      <c r="N51" s="9"/>
      <c r="O51" s="9"/>
      <c r="P51" s="9"/>
      <c r="Q51" s="9"/>
      <c r="R51" s="9"/>
      <c r="S51" s="9"/>
      <c r="T51" s="9"/>
      <c r="U51" s="9"/>
      <c r="V51" s="9"/>
      <c r="W51" s="9"/>
      <c r="X51" s="9"/>
      <c r="Y51" s="9"/>
      <c r="Z51" s="8"/>
      <c r="AA51" s="8"/>
      <c r="AB51" s="8"/>
    </row>
    <row r="52" spans="1:28" ht="15" customHeight="1" x14ac:dyDescent="0.4"/>
    <row r="53" spans="1:28" ht="15" customHeight="1" x14ac:dyDescent="0.4"/>
    <row r="54" spans="1:28" ht="15" customHeight="1" x14ac:dyDescent="0.4"/>
    <row r="55" spans="1:28" ht="15" customHeight="1" x14ac:dyDescent="0.4"/>
    <row r="56" spans="1:28" ht="15" customHeight="1" x14ac:dyDescent="0.4"/>
    <row r="57" spans="1:28" ht="15" customHeight="1" x14ac:dyDescent="0.4"/>
    <row r="58" spans="1:28" ht="15" customHeight="1" x14ac:dyDescent="0.4"/>
  </sheetData>
  <autoFilter ref="A1:AB53" xr:uid="{00000000-0009-0000-0000-000001000000}">
    <sortState xmlns:xlrd2="http://schemas.microsoft.com/office/spreadsheetml/2017/richdata2" ref="A2:AB53">
      <sortCondition ref="A2:A53"/>
    </sortState>
  </autoFilter>
  <dataValidations count="6">
    <dataValidation type="list" allowBlank="1" sqref="B2:B42 B45:B49" xr:uid="{00000000-0002-0000-0100-000000000000}">
      <formula1>"RQ4,RQ9,RQ10,RQ11,RQ7"</formula1>
      <formula2>0</formula2>
    </dataValidation>
    <dataValidation type="list" allowBlank="1" sqref="I2:I42 M2:M42 I45:I48 M45:M48" xr:uid="{00000000-0002-0000-0100-000002000000}">
      <formula1>"Si,No"</formula1>
      <formula2>0</formula2>
    </dataValidation>
    <dataValidation type="list" allowBlank="1" sqref="J2:J42 J45:J48" xr:uid="{00000000-0002-0000-0100-000003000000}">
      <formula1>"Incluido,Excluido,Pendiente"</formula1>
      <formula2>0</formula2>
    </dataValidation>
    <dataValidation type="list" allowBlank="1" sqref="K2:K42 K45:K48" xr:uid="{00000000-0002-0000-0100-000004000000}">
      <formula1>"E1,E2,E3,E4,E5,E6,OTRO"</formula1>
      <formula2>0</formula2>
    </dataValidation>
    <dataValidation type="list" allowBlank="1" sqref="L2:L42 L45:L48" xr:uid="{00000000-0002-0000-0100-000005000000}">
      <formula1>"Fisiologico/PK,Tecnico (Wearables/ML),Metodologico/Estadistico"</formula1>
      <formula2>0</formula2>
    </dataValidation>
    <dataValidation type="list" allowBlank="1" sqref="N2:Y43 N45:Y48" xr:uid="{00000000-0002-0000-0100-000006000000}">
      <formula1>"0,1,2,N/A"</formula1>
      <formula2>0</formula2>
    </dataValidation>
  </dataValidations>
  <hyperlinks>
    <hyperlink ref="E40" r:id="rId1" xr:uid="{00000000-0004-0000-0100-000000000000}"/>
    <hyperlink ref="G40" r:id="rId2" xr:uid="{00000000-0004-0000-0100-000001000000}"/>
  </hyperlinks>
  <pageMargins left="0.75" right="0.75" top="1" bottom="1" header="0.511811023622047" footer="0.511811023622047"/>
  <pageSetup paperSize="9" fitToHeight="0" orientation="landscape" horizontalDpi="300" verticalDpi="300"/>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showGridLines="0" zoomScaleNormal="100" workbookViewId="0">
      <selection activeCell="A22" sqref="A22"/>
    </sheetView>
  </sheetViews>
  <sheetFormatPr baseColWidth="10" defaultColWidth="8.69140625" defaultRowHeight="14.6" x14ac:dyDescent="0.4"/>
  <cols>
    <col min="1" max="1" width="16" style="1" customWidth="1"/>
    <col min="2" max="2" width="55" style="1" customWidth="1"/>
    <col min="3" max="3" width="16" style="1" customWidth="1"/>
    <col min="4" max="4" width="30" style="1" customWidth="1"/>
  </cols>
  <sheetData>
    <row r="1" spans="1:5" ht="15.75" customHeight="1" x14ac:dyDescent="0.4">
      <c r="A1" s="34" t="s">
        <v>434</v>
      </c>
      <c r="B1" s="34"/>
      <c r="C1" s="34"/>
      <c r="D1" s="34"/>
      <c r="E1" s="34"/>
    </row>
    <row r="3" spans="1:5" ht="15" customHeight="1" x14ac:dyDescent="0.4">
      <c r="A3" s="14" t="s">
        <v>435</v>
      </c>
      <c r="B3" s="14" t="s">
        <v>436</v>
      </c>
      <c r="C3" s="14" t="s">
        <v>437</v>
      </c>
      <c r="D3" s="14" t="s">
        <v>438</v>
      </c>
    </row>
    <row r="4" spans="1:5" ht="23.25" customHeight="1" x14ac:dyDescent="0.4">
      <c r="A4" s="8" t="s">
        <v>439</v>
      </c>
      <c r="B4" s="8" t="s">
        <v>440</v>
      </c>
      <c r="C4" s="8"/>
      <c r="D4" s="8"/>
    </row>
    <row r="5" spans="1:5" ht="23.25" customHeight="1" x14ac:dyDescent="0.4">
      <c r="A5" s="8" t="s">
        <v>439</v>
      </c>
      <c r="B5" s="8" t="s">
        <v>441</v>
      </c>
      <c r="C5" s="8"/>
      <c r="D5" s="8"/>
    </row>
    <row r="6" spans="1:5" ht="15" customHeight="1" x14ac:dyDescent="0.4">
      <c r="A6" s="8" t="s">
        <v>442</v>
      </c>
      <c r="B6" s="8" t="s">
        <v>443</v>
      </c>
      <c r="C6" s="8"/>
      <c r="D6" s="8"/>
    </row>
    <row r="7" spans="1:5" ht="15" customHeight="1" x14ac:dyDescent="0.4">
      <c r="A7" s="8" t="s">
        <v>442</v>
      </c>
      <c r="B7" s="8" t="s">
        <v>444</v>
      </c>
      <c r="C7" s="8"/>
      <c r="D7" s="8"/>
    </row>
    <row r="8" spans="1:5" ht="15" customHeight="1" x14ac:dyDescent="0.4">
      <c r="A8" s="8" t="s">
        <v>445</v>
      </c>
      <c r="B8" s="8" t="s">
        <v>446</v>
      </c>
      <c r="C8" s="8"/>
      <c r="D8" s="8"/>
    </row>
    <row r="9" spans="1:5" ht="15" customHeight="1" x14ac:dyDescent="0.4">
      <c r="A9" s="8" t="s">
        <v>445</v>
      </c>
      <c r="B9" s="8" t="s">
        <v>447</v>
      </c>
      <c r="C9" s="8"/>
      <c r="D9" s="8"/>
    </row>
    <row r="10" spans="1:5" ht="15" customHeight="1" x14ac:dyDescent="0.4">
      <c r="A10" s="8" t="s">
        <v>448</v>
      </c>
      <c r="B10" s="8" t="s">
        <v>449</v>
      </c>
      <c r="C10" s="8"/>
      <c r="D10" s="8"/>
    </row>
    <row r="11" spans="1:5" ht="15" customHeight="1" x14ac:dyDescent="0.4">
      <c r="A11" s="8" t="s">
        <v>448</v>
      </c>
      <c r="B11" s="8" t="s">
        <v>450</v>
      </c>
      <c r="C11" s="8"/>
      <c r="D11" s="8"/>
    </row>
    <row r="14" spans="1:5" ht="15" customHeight="1" x14ac:dyDescent="0.4">
      <c r="A14" s="3" t="s">
        <v>451</v>
      </c>
    </row>
    <row r="15" spans="1:5" ht="23.25" customHeight="1" x14ac:dyDescent="0.4">
      <c r="A15" s="5" t="s">
        <v>452</v>
      </c>
      <c r="B15" s="5" t="s">
        <v>453</v>
      </c>
      <c r="C15" s="5" t="s">
        <v>454</v>
      </c>
    </row>
    <row r="16" spans="1:5" ht="15" customHeight="1" x14ac:dyDescent="0.4">
      <c r="A16" s="15" t="s">
        <v>220</v>
      </c>
      <c r="B16" s="15">
        <f>COUNTIFS(Extraccion_Estudios!$B$2:$B$200,A16,Extraccion_Estudios!$J$2:$J$200,"Incluido")</f>
        <v>13</v>
      </c>
      <c r="C16" s="15">
        <f>COUNTIFS(Extraccion_Estudios!$B$2:$B$200,A16,Extraccion_Estudios!$J$2:$J$200,"Excluido")</f>
        <v>1</v>
      </c>
    </row>
    <row r="17" spans="1:3" ht="15" customHeight="1" x14ac:dyDescent="0.4">
      <c r="A17" s="15" t="s">
        <v>324</v>
      </c>
      <c r="B17" s="15">
        <f>COUNTIFS(Extraccion_Estudios!$B$2:$B$200,A17,Extraccion_Estudios!$J$2:$J$200,"Incluido")</f>
        <v>7</v>
      </c>
      <c r="C17" s="15">
        <f>COUNTIFS(Extraccion_Estudios!$B$2:$B$200,A17,Extraccion_Estudios!$J$2:$J$200,"Excluido")</f>
        <v>2</v>
      </c>
    </row>
    <row r="18" spans="1:3" ht="15" customHeight="1" x14ac:dyDescent="0.4">
      <c r="A18" s="15" t="s">
        <v>117</v>
      </c>
      <c r="B18" s="15">
        <f>COUNTIFS(Extraccion_Estudios!$B$2:$B$200,A18,Extraccion_Estudios!$J$2:$J$200,"Incluido")</f>
        <v>7</v>
      </c>
      <c r="C18" s="15">
        <f>COUNTIFS(Extraccion_Estudios!$B$2:$B$200,A18,Extraccion_Estudios!$J$2:$J$200,"Excluido")</f>
        <v>2</v>
      </c>
    </row>
    <row r="19" spans="1:3" ht="15" customHeight="1" x14ac:dyDescent="0.4">
      <c r="A19" s="15" t="s">
        <v>172</v>
      </c>
      <c r="B19" s="15">
        <f>COUNTIFS(Extraccion_Estudios!$B$2:$B$200,A19,Extraccion_Estudios!$J$2:$J$200,"Incluido")</f>
        <v>5</v>
      </c>
      <c r="C19" s="15">
        <f>COUNTIFS(Extraccion_Estudios!$B$2:$B$200,A19,Extraccion_Estudios!$J$2:$J$200,"Excluido")</f>
        <v>0</v>
      </c>
    </row>
    <row r="20" spans="1:3" ht="15" customHeight="1" x14ac:dyDescent="0.4">
      <c r="A20" s="15" t="s">
        <v>283</v>
      </c>
      <c r="B20" s="15">
        <f>COUNTIFS(Extraccion_Estudios!$B$2:$B$200,A20,Extraccion_Estudios!$J$2:$J$200,"Incluido")</f>
        <v>5</v>
      </c>
      <c r="C20" s="15">
        <f>COUNTIFS(Extraccion_Estudios!$B$2:$B$200,A20,Extraccion_Estudios!$J$2:$J$200,"Excluido")</f>
        <v>0</v>
      </c>
    </row>
    <row r="21" spans="1:3" ht="14.25" customHeight="1" x14ac:dyDescent="0.4"/>
    <row r="22" spans="1:3" ht="14.25" customHeight="1" x14ac:dyDescent="0.4"/>
  </sheetData>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zoomScale="85" zoomScaleNormal="85" workbookViewId="0">
      <selection activeCell="B23" sqref="B23"/>
    </sheetView>
  </sheetViews>
  <sheetFormatPr baseColWidth="10" defaultColWidth="8.69140625" defaultRowHeight="14.6" x14ac:dyDescent="0.4"/>
  <cols>
    <col min="1" max="1" width="5.84375" style="1" customWidth="1"/>
    <col min="2" max="2" width="62.53515625" style="1" customWidth="1"/>
    <col min="3" max="3" width="96" style="1" customWidth="1"/>
    <col min="4" max="4" width="40.53515625" style="1" customWidth="1"/>
  </cols>
  <sheetData>
    <row r="1" spans="1:4" ht="14.25" customHeight="1" x14ac:dyDescent="0.4">
      <c r="A1" s="16" t="s">
        <v>455</v>
      </c>
      <c r="B1" s="17" t="s">
        <v>456</v>
      </c>
      <c r="C1" s="17" t="s">
        <v>457</v>
      </c>
      <c r="D1" s="17" t="s">
        <v>458</v>
      </c>
    </row>
    <row r="2" spans="1:4" ht="76.5" customHeight="1" x14ac:dyDescent="0.4">
      <c r="A2" s="18" t="s">
        <v>220</v>
      </c>
      <c r="B2" s="19" t="s">
        <v>459</v>
      </c>
      <c r="C2" s="19" t="s">
        <v>460</v>
      </c>
      <c r="D2" s="19" t="s">
        <v>461</v>
      </c>
    </row>
    <row r="3" spans="1:4" ht="121.5" customHeight="1" x14ac:dyDescent="0.4">
      <c r="A3" s="18" t="s">
        <v>324</v>
      </c>
      <c r="B3" s="19" t="s">
        <v>462</v>
      </c>
      <c r="C3" s="19" t="s">
        <v>463</v>
      </c>
      <c r="D3" s="19" t="s">
        <v>464</v>
      </c>
    </row>
    <row r="4" spans="1:4" ht="121.5" customHeight="1" x14ac:dyDescent="0.4">
      <c r="A4" s="18" t="s">
        <v>117</v>
      </c>
      <c r="B4" s="19" t="s">
        <v>465</v>
      </c>
      <c r="C4" s="19" t="s">
        <v>466</v>
      </c>
      <c r="D4" s="19" t="s">
        <v>467</v>
      </c>
    </row>
    <row r="5" spans="1:4" ht="121.5" customHeight="1" x14ac:dyDescent="0.4">
      <c r="A5" s="18" t="s">
        <v>172</v>
      </c>
      <c r="B5" s="19" t="s">
        <v>468</v>
      </c>
      <c r="C5" s="19" t="s">
        <v>469</v>
      </c>
      <c r="D5" s="19" t="s">
        <v>470</v>
      </c>
    </row>
    <row r="6" spans="1:4" ht="76.5" customHeight="1" x14ac:dyDescent="0.4">
      <c r="A6" s="18" t="s">
        <v>283</v>
      </c>
      <c r="B6" s="19" t="s">
        <v>471</v>
      </c>
      <c r="C6" s="19" t="s">
        <v>472</v>
      </c>
      <c r="D6" s="19" t="s">
        <v>473</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topLeftCell="A9" zoomScale="115" zoomScaleNormal="115" workbookViewId="0">
      <selection activeCell="F13" sqref="F13"/>
    </sheetView>
  </sheetViews>
  <sheetFormatPr baseColWidth="10" defaultColWidth="8.69140625" defaultRowHeight="14.6" x14ac:dyDescent="0.4"/>
  <cols>
    <col min="1" max="1" width="6" style="1" customWidth="1"/>
    <col min="2" max="2" width="26" style="1" customWidth="1"/>
    <col min="3" max="3" width="40" style="1" customWidth="1"/>
    <col min="4" max="4" width="30" style="1" customWidth="1"/>
    <col min="5" max="5" width="20" style="1" customWidth="1"/>
    <col min="6" max="6" width="45" style="1" customWidth="1"/>
    <col min="7" max="7" width="35" style="1" customWidth="1"/>
  </cols>
  <sheetData>
    <row r="1" spans="1:7" ht="15" customHeight="1" x14ac:dyDescent="0.4">
      <c r="A1" s="22" t="s">
        <v>89</v>
      </c>
      <c r="B1" s="22" t="s">
        <v>474</v>
      </c>
      <c r="C1" s="22" t="s">
        <v>475</v>
      </c>
      <c r="D1" s="22" t="s">
        <v>93</v>
      </c>
      <c r="E1" s="22" t="s">
        <v>95</v>
      </c>
      <c r="F1" s="22" t="s">
        <v>476</v>
      </c>
      <c r="G1" s="22" t="s">
        <v>438</v>
      </c>
    </row>
    <row r="2" spans="1:7" ht="72.900000000000006" x14ac:dyDescent="0.4">
      <c r="A2" s="23">
        <v>29</v>
      </c>
      <c r="B2" s="23" t="s">
        <v>275</v>
      </c>
      <c r="C2" s="23" t="s">
        <v>276</v>
      </c>
      <c r="D2" s="23" t="s">
        <v>277</v>
      </c>
      <c r="E2" s="24" t="s">
        <v>279</v>
      </c>
      <c r="F2" s="23" t="s">
        <v>516</v>
      </c>
      <c r="G2" s="23"/>
    </row>
    <row r="3" spans="1:7" ht="108.75" customHeight="1" x14ac:dyDescent="0.4">
      <c r="A3" s="23">
        <v>32</v>
      </c>
      <c r="B3" s="23" t="s">
        <v>477</v>
      </c>
      <c r="C3" s="23" t="s">
        <v>478</v>
      </c>
      <c r="D3" s="23" t="s">
        <v>479</v>
      </c>
      <c r="E3" s="23" t="s">
        <v>480</v>
      </c>
      <c r="F3" s="23" t="s">
        <v>481</v>
      </c>
      <c r="G3" s="23" t="s">
        <v>482</v>
      </c>
    </row>
    <row r="4" spans="1:7" ht="68.25" customHeight="1" x14ac:dyDescent="0.4">
      <c r="A4" s="23">
        <v>33</v>
      </c>
      <c r="B4" s="23" t="s">
        <v>483</v>
      </c>
      <c r="C4" s="23" t="s">
        <v>484</v>
      </c>
      <c r="D4" s="23" t="s">
        <v>485</v>
      </c>
      <c r="E4" s="23" t="s">
        <v>486</v>
      </c>
      <c r="F4" s="23" t="s">
        <v>487</v>
      </c>
      <c r="G4" s="23" t="s">
        <v>488</v>
      </c>
    </row>
    <row r="5" spans="1:7" ht="122.25" customHeight="1" x14ac:dyDescent="0.4">
      <c r="A5" s="23">
        <v>35</v>
      </c>
      <c r="B5" s="23" t="s">
        <v>489</v>
      </c>
      <c r="C5" s="23" t="s">
        <v>490</v>
      </c>
      <c r="D5" s="23" t="s">
        <v>491</v>
      </c>
      <c r="E5" s="23" t="s">
        <v>492</v>
      </c>
      <c r="F5" s="23" t="s">
        <v>493</v>
      </c>
      <c r="G5" s="23" t="s">
        <v>494</v>
      </c>
    </row>
    <row r="6" spans="1:7" ht="216" customHeight="1" x14ac:dyDescent="0.4">
      <c r="A6" s="23">
        <v>40</v>
      </c>
      <c r="B6" s="23" t="s">
        <v>495</v>
      </c>
      <c r="C6" s="23" t="s">
        <v>496</v>
      </c>
      <c r="D6" s="23" t="s">
        <v>497</v>
      </c>
      <c r="E6" s="23" t="s">
        <v>498</v>
      </c>
      <c r="F6" s="23" t="s">
        <v>499</v>
      </c>
      <c r="G6" s="23" t="s">
        <v>500</v>
      </c>
    </row>
    <row r="7" spans="1:7" ht="81.75" customHeight="1" x14ac:dyDescent="0.4">
      <c r="A7" s="23">
        <v>41</v>
      </c>
      <c r="B7" s="23" t="s">
        <v>371</v>
      </c>
      <c r="C7" s="23" t="s">
        <v>372</v>
      </c>
      <c r="D7" s="23" t="s">
        <v>373</v>
      </c>
      <c r="E7" s="23" t="s">
        <v>374</v>
      </c>
      <c r="F7" s="23" t="s">
        <v>501</v>
      </c>
      <c r="G7" s="23" t="s">
        <v>531</v>
      </c>
    </row>
    <row r="8" spans="1:7" ht="162" customHeight="1" x14ac:dyDescent="0.4">
      <c r="A8" s="23">
        <v>42</v>
      </c>
      <c r="B8" s="23" t="s">
        <v>502</v>
      </c>
      <c r="C8" s="23" t="s">
        <v>503</v>
      </c>
      <c r="D8" s="23" t="s">
        <v>504</v>
      </c>
      <c r="E8" s="23" t="s">
        <v>505</v>
      </c>
      <c r="F8" s="23" t="s">
        <v>506</v>
      </c>
      <c r="G8" s="23" t="s">
        <v>507</v>
      </c>
    </row>
    <row r="9" spans="1:7" ht="149.25" customHeight="1" x14ac:dyDescent="0.4">
      <c r="A9" s="23">
        <v>43</v>
      </c>
      <c r="B9" s="23" t="s">
        <v>151</v>
      </c>
      <c r="C9" s="23" t="s">
        <v>152</v>
      </c>
      <c r="D9" s="23" t="s">
        <v>153</v>
      </c>
      <c r="E9" s="23" t="s">
        <v>154</v>
      </c>
      <c r="F9" s="23" t="s">
        <v>508</v>
      </c>
      <c r="G9" s="23" t="s">
        <v>509</v>
      </c>
    </row>
    <row r="10" spans="1:7" ht="149.25" customHeight="1" x14ac:dyDescent="0.4">
      <c r="A10" s="23">
        <v>50</v>
      </c>
      <c r="B10" s="23" t="s">
        <v>517</v>
      </c>
      <c r="C10" s="23" t="s">
        <v>518</v>
      </c>
      <c r="D10" s="23" t="s">
        <v>519</v>
      </c>
      <c r="E10" s="23" t="s">
        <v>520</v>
      </c>
      <c r="F10" s="23" t="s">
        <v>521</v>
      </c>
      <c r="G10" s="23" t="s">
        <v>522</v>
      </c>
    </row>
    <row r="11" spans="1:7" x14ac:dyDescent="0.4">
      <c r="A11" s="23">
        <v>51</v>
      </c>
      <c r="B11" s="25" t="s">
        <v>523</v>
      </c>
      <c r="C11" s="25" t="s">
        <v>524</v>
      </c>
      <c r="D11" s="25" t="s">
        <v>525</v>
      </c>
      <c r="E11" s="26"/>
      <c r="F11" s="26"/>
      <c r="G11" s="26"/>
    </row>
    <row r="12" spans="1:7" x14ac:dyDescent="0.4">
      <c r="A12" s="23">
        <v>52</v>
      </c>
      <c r="B12" t="s">
        <v>562</v>
      </c>
      <c r="C12" t="s">
        <v>563</v>
      </c>
      <c r="D12" t="s">
        <v>564</v>
      </c>
      <c r="E12" t="s">
        <v>565</v>
      </c>
      <c r="F12" s="26" t="s">
        <v>566</v>
      </c>
      <c r="G12" s="26"/>
    </row>
    <row r="13" spans="1:7" ht="149.25" customHeight="1" x14ac:dyDescent="0.4">
      <c r="A13" s="23">
        <v>53</v>
      </c>
      <c r="B13" s="23" t="s">
        <v>526</v>
      </c>
      <c r="C13" s="23" t="s">
        <v>527</v>
      </c>
      <c r="D13" s="23" t="s">
        <v>528</v>
      </c>
      <c r="E13" s="25" t="s">
        <v>530</v>
      </c>
      <c r="F13" s="27" t="s">
        <v>529</v>
      </c>
      <c r="G13" s="23"/>
    </row>
    <row r="14" spans="1:7" ht="160.30000000000001" x14ac:dyDescent="0.4">
      <c r="A14" s="23">
        <v>54</v>
      </c>
      <c r="B14" s="23" t="s">
        <v>532</v>
      </c>
      <c r="C14" s="23" t="s">
        <v>533</v>
      </c>
      <c r="D14" s="23" t="s">
        <v>534</v>
      </c>
      <c r="E14" s="23" t="s">
        <v>535</v>
      </c>
      <c r="F14" s="23" t="s">
        <v>536</v>
      </c>
      <c r="G14" s="23" t="s">
        <v>537</v>
      </c>
    </row>
    <row r="15" spans="1:7" ht="102" x14ac:dyDescent="0.4">
      <c r="A15" s="23">
        <v>55</v>
      </c>
      <c r="B15" s="23" t="s">
        <v>544</v>
      </c>
      <c r="C15" s="23" t="s">
        <v>545</v>
      </c>
      <c r="D15" s="23" t="s">
        <v>546</v>
      </c>
      <c r="E15" s="23" t="s">
        <v>547</v>
      </c>
      <c r="F15" s="23" t="s">
        <v>548</v>
      </c>
      <c r="G15" s="23" t="s">
        <v>549</v>
      </c>
    </row>
    <row r="16" spans="1:7" ht="102" x14ac:dyDescent="0.4">
      <c r="A16" s="23">
        <v>56</v>
      </c>
      <c r="B16" s="23" t="s">
        <v>538</v>
      </c>
      <c r="C16" s="23" t="s">
        <v>539</v>
      </c>
      <c r="D16" s="23" t="s">
        <v>540</v>
      </c>
      <c r="E16" s="23" t="s">
        <v>541</v>
      </c>
      <c r="F16" s="23" t="s">
        <v>542</v>
      </c>
      <c r="G16" s="23" t="s">
        <v>543</v>
      </c>
    </row>
    <row r="17" spans="1:7" ht="87.45" x14ac:dyDescent="0.4">
      <c r="A17" s="23">
        <v>57</v>
      </c>
      <c r="B17" s="23" t="s">
        <v>550</v>
      </c>
      <c r="C17" s="23" t="s">
        <v>551</v>
      </c>
      <c r="D17" s="23" t="s">
        <v>552</v>
      </c>
      <c r="E17" s="23" t="s">
        <v>553</v>
      </c>
      <c r="F17" s="23" t="s">
        <v>554</v>
      </c>
      <c r="G17" s="23" t="s">
        <v>555</v>
      </c>
    </row>
    <row r="18" spans="1:7" ht="131.15" x14ac:dyDescent="0.4">
      <c r="A18" s="23">
        <v>58</v>
      </c>
      <c r="B18" s="23" t="s">
        <v>166</v>
      </c>
      <c r="C18" s="23" t="s">
        <v>167</v>
      </c>
      <c r="D18" s="23" t="s">
        <v>168</v>
      </c>
      <c r="E18" s="28" t="s">
        <v>169</v>
      </c>
      <c r="F18" s="23" t="s">
        <v>556</v>
      </c>
      <c r="G18" s="23" t="s">
        <v>557</v>
      </c>
    </row>
    <row r="19" spans="1:7" x14ac:dyDescent="0.4">
      <c r="A19" s="20"/>
      <c r="B19" s="20"/>
      <c r="C19" s="20"/>
      <c r="D19" s="20"/>
      <c r="E19" s="20"/>
      <c r="F19" s="20"/>
      <c r="G19" s="20"/>
    </row>
    <row r="20" spans="1:7" x14ac:dyDescent="0.4">
      <c r="A20" s="20"/>
      <c r="B20" s="20"/>
      <c r="C20" s="20"/>
      <c r="D20" s="20"/>
      <c r="E20" s="20"/>
      <c r="F20" s="20"/>
      <c r="G20" s="20"/>
    </row>
    <row r="21" spans="1:7" x14ac:dyDescent="0.4">
      <c r="A21" s="20"/>
      <c r="B21" s="20"/>
      <c r="C21" s="20"/>
      <c r="D21" s="20"/>
      <c r="E21" s="20"/>
      <c r="F21" s="20"/>
      <c r="G21" s="20"/>
    </row>
    <row r="22" spans="1:7" x14ac:dyDescent="0.4">
      <c r="A22" s="20"/>
      <c r="B22" s="20"/>
      <c r="C22" s="20"/>
      <c r="D22" s="20"/>
      <c r="E22" s="20"/>
      <c r="F22" s="20"/>
      <c r="G22" s="20"/>
    </row>
  </sheetData>
  <hyperlinks>
    <hyperlink ref="E2" r:id="rId1" xr:uid="{E31CC78B-DB8D-4A8C-8863-3ECBEBC8BF06}"/>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Leyenda y Criterios</vt:lpstr>
      <vt:lpstr>Extraccion_Estudios</vt:lpstr>
      <vt:lpstr>Flujo_PRISMA</vt:lpstr>
      <vt:lpstr>Preguntas</vt:lpstr>
      <vt:lpstr>Referencias_Metodologicas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Minerva Villegas Alcaide</cp:lastModifiedBy>
  <cp:revision>0</cp:revision>
  <cp:lastPrinted>2026-08-25T07:52:25Z</cp:lastPrinted>
  <dcterms:created xsi:type="dcterms:W3CDTF">2026-07-23T07:49:49Z</dcterms:created>
  <dcterms:modified xsi:type="dcterms:W3CDTF">2026-09-29T18:39:59Z</dcterms:modified>
  <dc:language>en-US</dc:language>
</cp:coreProperties>
</file>